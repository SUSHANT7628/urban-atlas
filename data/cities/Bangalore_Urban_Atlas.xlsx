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conomic Opportunities" sheetId="2" state="visible" r:id="rId4"/>
    <sheet name="Environment &amp; Resources" sheetId="3" state="visible" r:id="rId5"/>
    <sheet name="Governance &amp; Technology" sheetId="4" state="visible" r:id="rId6"/>
    <sheet name="Mobility &amp; Accessibility" sheetId="5" state="visible" r:id="rId7"/>
    <sheet name="Social Infrastructure" sheetId="6" state="visible" r:id="rId8"/>
    <sheet name="Urban Infrastructure" sheetId="7" state="visible" r:id="rId9"/>
  </sheets>
  <definedNames>
    <definedName function="false" hidden="true" localSheetId="1" name="_xlnm._FilterDatabase" vbProcedure="false">'Economic Opportunities'!$A$4:$I$35</definedName>
    <definedName function="false" hidden="true" localSheetId="2" name="_xlnm._FilterDatabase" vbProcedure="false">'Environment &amp; Resources'!$A$4:$I$55</definedName>
    <definedName function="false" hidden="true" localSheetId="3" name="_xlnm._FilterDatabase" vbProcedure="false">'Governance &amp; Technology'!$A$4:$I$41</definedName>
    <definedName function="false" hidden="true" localSheetId="4" name="_xlnm._FilterDatabase" vbProcedure="false">'Mobility &amp; Accessibility'!$A$4:$I$43</definedName>
    <definedName function="false" hidden="true" localSheetId="5" name="_xlnm._FilterDatabase" vbProcedure="false">'Social Infrastructure'!$A$4:$I$50</definedName>
    <definedName function="false" hidden="true" localSheetId="6" name="_xlnm._FilterDatabase" vbProcedure="false">'Urban Infrastructure'!$A$4:$I$46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<sst xmlns="http://schemas.openxmlformats.org/spreadsheetml/2006/main" count="1366" uniqueCount="578">
  <si>
    <t xml:space="preserve">Bangalore — Urban Planning Data Atlas</t>
  </si>
  <si>
    <t xml:space="preserve">Karnataka · Data from the corrected Atlas workbooks, October 2026</t>
  </si>
  <si>
    <t xml:space="preserve">Overall score (/100)</t>
  </si>
  <si>
    <t xml:space="preserve">Rank among the 8 Atlas cities</t>
  </si>
  <si>
    <t xml:space="preserve">Static value: computed across all eight city files.</t>
  </si>
  <si>
    <t xml:space="preserve">Theme</t>
  </si>
  <si>
    <t xml:space="preserve">Indicators</t>
  </si>
  <si>
    <t xml:space="preserve">Rated</t>
  </si>
  <si>
    <t xml:space="preserve">Theme score (/100)</t>
  </si>
  <si>
    <t xml:space="preserve">Exceptional</t>
  </si>
  <si>
    <t xml:space="preserve">High</t>
  </si>
  <si>
    <t xml:space="preserve">Moderate-High</t>
  </si>
  <si>
    <t xml:space="preserve">Moderate</t>
  </si>
  <si>
    <t xml:space="preserve">Low-Moderate</t>
  </si>
  <si>
    <t xml:space="preserve">Low</t>
  </si>
  <si>
    <t xml:space="preserve">Economic Opportunities</t>
  </si>
  <si>
    <t xml:space="preserve">Environment &amp; Resources</t>
  </si>
  <si>
    <t xml:space="preserve">Governance &amp; Technology</t>
  </si>
  <si>
    <t xml:space="preserve">Mobility &amp; Accessibility</t>
  </si>
  <si>
    <t xml:space="preserve">Social Infrastructure</t>
  </si>
  <si>
    <t xml:space="preserve">Urban Infrastructure</t>
  </si>
  <si>
    <t xml:space="preserve">All themes</t>
  </si>
  <si>
    <t xml:space="preserve">How to read: theme score = average rating score rescaled to 0–100 (100 = Exceptional on every rated indicator). Counts and scores are formulas over the theme sheets and update if a rating is edited.</t>
  </si>
  <si>
    <t xml:space="preserve">Data basis column on each sheet: Official source, Third-party source, Derived / calculated, Estimated or Unverifiable — see the Data Credibility Ranking workbook for details.</t>
  </si>
  <si>
    <t xml:space="preserve">Bangalore — Economic Opportunities</t>
  </si>
  <si>
    <t xml:space="preserve">Values and ratings from the corrected Urban Planning Data Atlas workbooks (Oct 2026). Ratings rank the city against the other seven Atlas cities. Rating score: 6 = Exceptional … 1 = Low.</t>
  </si>
  <si>
    <t xml:space="preserve">S.No</t>
  </si>
  <si>
    <t xml:space="preserve">Topic</t>
  </si>
  <si>
    <t xml:space="preserve">Indicator</t>
  </si>
  <si>
    <t xml:space="preserve">Value</t>
  </si>
  <si>
    <t xml:space="preserve">Rating</t>
  </si>
  <si>
    <t xml:space="preserve">Rating score (1–6)</t>
  </si>
  <si>
    <t xml:space="preserve">Data basis</t>
  </si>
  <si>
    <t xml:space="preserve">Source &amp; timeline</t>
  </si>
  <si>
    <t xml:space="preserve">Verification note</t>
  </si>
  <si>
    <t xml:space="preserve">Employment Generation</t>
  </si>
  <si>
    <t xml:space="preserve">Number of Employment Hubs</t>
  </si>
  <si>
    <t xml:space="preserve">~45 hubs</t>
  </si>
  <si>
    <t xml:space="preserve">Estimated</t>
  </si>
  <si>
    <t xml:space="preserve">Number of employment hubs — State Industrial Development Corporations &amp; Municipal Land-Use Master Plans, 2024–2025</t>
  </si>
  <si>
    <t xml:space="preserve">Job Creation Rate (%)</t>
  </si>
  <si>
    <t xml:space="preserve">8.8%</t>
  </si>
  <si>
    <t xml:space="preserve">Job creation rate — Ministry of Labour &amp; Employment Periodic Labour Force Survey (PLFS), 2024</t>
  </si>
  <si>
    <t xml:space="preserve">Formal Employment Share (%)</t>
  </si>
  <si>
    <t xml:space="preserve">45%</t>
  </si>
  <si>
    <t xml:space="preserve">Formal employment share — Estimated from EPFO District Remittance Logs &amp; Census Demographic Projections, 2024</t>
  </si>
  <si>
    <t xml:space="preserve">Business Establishments (Total Registered)</t>
  </si>
  <si>
    <t xml:space="preserve">~750,000</t>
  </si>
  <si>
    <t xml:space="preserve">Business establishments — Ministry of Corporate Affairs (MCA) Registry &amp; MoMSME Udyam Database, 2024</t>
  </si>
  <si>
    <t xml:space="preserve">Startup Ecosystem Accessibility</t>
  </si>
  <si>
    <t xml:space="preserve">~650</t>
  </si>
  <si>
    <t xml:space="preserve">Startup ecosystem accessibility — Startup India Hub Central Database &amp; Commercial Real Estate Trackers, 2024–2025</t>
  </si>
  <si>
    <t xml:space="preserve">Job Growth Rate (%)</t>
  </si>
  <si>
    <t xml:space="preserve">8.5%</t>
  </si>
  <si>
    <t xml:space="preserve">Job growth rate — Directorate General of Employment (DGE) Quarterly Employment Surveys, 2024</t>
  </si>
  <si>
    <t xml:space="preserve">Income Levels (Avg/Month)</t>
  </si>
  <si>
    <t xml:space="preserve">~₹58,000/mo</t>
  </si>
  <si>
    <t xml:space="preserve">Income levels — Estimated via PLFS Wage Profiles &amp; Corporate Compensation Benchmarking Indexes, 2024</t>
  </si>
  <si>
    <t xml:space="preserve">MSME Contribution (% of GDP)</t>
  </si>
  <si>
    <t xml:space="preserve">22%</t>
  </si>
  <si>
    <t xml:space="preserve">MSME contribution — State Directorates of Economics and Statistics Annual GSDP Sectoral Reports, 2023–2024</t>
  </si>
  <si>
    <t xml:space="preserve">Business Survival Rate (%, 5-Year)</t>
  </si>
  <si>
    <t xml:space="preserve">62%</t>
  </si>
  <si>
    <t xml:space="preserve">Business survival rate — Estimated based on MCA Registration vs. Winding-Up Longitudinal Studies, 2024</t>
  </si>
  <si>
    <t xml:space="preserve">Employment for Vulnerable Groups (/5)</t>
  </si>
  <si>
    <t xml:space="preserve">4.2 / 5</t>
  </si>
  <si>
    <t xml:space="preserve">Unverifiable</t>
  </si>
  <si>
    <t xml:space="preserve">Employment for vulnerable groups — Estimated from MoHUA Social Inclusivity Index Parameters, 2024</t>
  </si>
  <si>
    <t xml:space="preserve">City GDP (GSDP/Urban GDP)</t>
  </si>
  <si>
    <t xml:space="preserve">₹7,60,362</t>
  </si>
  <si>
    <t xml:space="preserve">Derived / calculated</t>
  </si>
  <si>
    <t xml:space="preserve">City GDP per capita — Delhi: Economic Survey of Delhi, per-capita income 2024-25 (₹4,93,024). Bangalore: Economic Survey of Karnataka 2023-24, Bengaluru Urban district PCI 2022-23 (₹7,60,362). Other cities: compiler estimates (unverified).</t>
  </si>
  <si>
    <t xml:space="preserve">Corrected: Bengaluru Urban district per-capita income 2022-23, Economic Survey of Karnataka 2023-24.</t>
  </si>
  <si>
    <t xml:space="preserve">Economic Growth Rate (%)</t>
  </si>
  <si>
    <t xml:space="preserve">Economic growth rate — State Directorates of Economics and Statistics Consolidated GDVA Profiles, 2024</t>
  </si>
  <si>
    <t xml:space="preserve">Income Distribution (Gini Index)</t>
  </si>
  <si>
    <t xml:space="preserve">0.35</t>
  </si>
  <si>
    <t xml:space="preserve">Income distribution — NSSO Household Consumption Expenditure Survey Urban Core Splits, 2023–2024</t>
  </si>
  <si>
    <t xml:space="preserve">Poverty — MPI Headcount (%)</t>
  </si>
  <si>
    <t xml:space="preserve">2.8%</t>
  </si>
  <si>
    <t xml:space="preserve">Official source</t>
  </si>
  <si>
    <t xml:space="preserve">Poverty — NITI Aayog National Multidimensional Poverty Index: A Progress Review 2023, district headcount ratio, NFHS-5 (2019–21). Values not re-verified to the decimal.</t>
  </si>
  <si>
    <t xml:space="preserve">Industrial Areas/Zones (Area Ratio)</t>
  </si>
  <si>
    <t xml:space="preserve">0.11</t>
  </si>
  <si>
    <t xml:space="preserve">Industrial areas/zones — Estimated via Master Plans &amp; State Industrial Development Corporation Plot Records, 2024</t>
  </si>
  <si>
    <t xml:space="preserve">Connectivity to Transport Networks (/5)</t>
  </si>
  <si>
    <t xml:space="preserve">4 / 5</t>
  </si>
  <si>
    <t xml:space="preserve">Connectivity to transport networks — Estimated via Ministry of Commerce Logistics Ease Across Different States (LEADS) Criteria, 2024</t>
  </si>
  <si>
    <t xml:space="preserve">Industrial Output (% GDP Contribution)</t>
  </si>
  <si>
    <t xml:space="preserve">~24%</t>
  </si>
  <si>
    <t xml:space="preserve">Industrial output — State Directorates of Economics and Statistics, Gross District Value Added (GDVA) Profiles, 2023–2024</t>
  </si>
  <si>
    <t xml:space="preserve">Green Industrial Practices (%)</t>
  </si>
  <si>
    <t xml:space="preserve">75%</t>
  </si>
  <si>
    <t xml:space="preserve">Green industrial practices — State Pollution Control Boards (SPCB) Industrial Compliance Databases, 2024</t>
  </si>
  <si>
    <t xml:space="preserve">Employment Generation (Cumulative Salary Index)</t>
  </si>
  <si>
    <t xml:space="preserve">Employment generation — Estimated from Annual Survey of Industries &amp; EPFO District Registration Densities, 2024</t>
  </si>
  <si>
    <t xml:space="preserve">Skill Dev &amp; Entrep</t>
  </si>
  <si>
    <t xml:space="preserve">Skill Development Centres</t>
  </si>
  <si>
    <t xml:space="preserve">115</t>
  </si>
  <si>
    <t xml:space="preserve">Skill development centres — Ministry of Skill Development and Entrepreneurship Kaushal Vikas Portal, 2024</t>
  </si>
  <si>
    <t xml:space="preserve">Incubation/Startup Centres</t>
  </si>
  <si>
    <t xml:space="preserve">160</t>
  </si>
  <si>
    <t xml:space="preserve">Incubation/startup centres — Startup India Hub Central Registry &amp; Institutional Mapping, 2024</t>
  </si>
  <si>
    <t xml:space="preserve">Social Welfare Centres</t>
  </si>
  <si>
    <t xml:space="preserve">124</t>
  </si>
  <si>
    <t xml:space="preserve">Social welfare centres — Estimated from Municipal Corporation Asset Management Ledgers, 2024</t>
  </si>
  <si>
    <t xml:space="preserve">Access for Low-Income Groups (%)</t>
  </si>
  <si>
    <t xml:space="preserve">60%</t>
  </si>
  <si>
    <t xml:space="preserve">Access for low-income groups — National Skill Development Corporation (NSDC) Enrollment Analytics, 2024</t>
  </si>
  <si>
    <t xml:space="preserve">Gender Inclusivity (%)</t>
  </si>
  <si>
    <t xml:space="preserve">48%</t>
  </si>
  <si>
    <t xml:space="preserve">Gender inclusivity — MSDE Gender Segregated Skill Training Database Projections, 2024</t>
  </si>
  <si>
    <t xml:space="preserve">Number of Enterprises</t>
  </si>
  <si>
    <t xml:space="preserve">55</t>
  </si>
  <si>
    <t xml:space="preserve">Number of enterprises — Ministry of Micro, Small and Medium Enterprises (MoMSME) Udyam Portal, 2024</t>
  </si>
  <si>
    <t xml:space="preserve">Startup Density (per 100k Pop)</t>
  </si>
  <si>
    <t xml:space="preserve">100</t>
  </si>
  <si>
    <t xml:space="preserve">Startup density — DPIIT-recognised startups ÷ population. Delhi 16,356 (Jan 2025); Bengaluru 13,649 (Oct 2024); Kanpur consistent with 508 in Kanpur Nagar (Oct 2023). Other cities unverified and possibly overstated.</t>
  </si>
  <si>
    <t xml:space="preserve">Corrected: 13,649 DPIIT-recognised startups in Bengaluru Urban + Rural (Oct 2024, Parliament reply) ÷ ~13.5 M population.</t>
  </si>
  <si>
    <t xml:space="preserve">Ease of Doing Business (/5)</t>
  </si>
  <si>
    <t xml:space="preserve">4.5 / 5</t>
  </si>
  <si>
    <t xml:space="preserve">Ease of doing business — DPIIT Business Reform Action Plan (BRAP) Adjustments, 2023–2024</t>
  </si>
  <si>
    <t xml:space="preserve">Incubation Ecosystem (Hubs/Accelerators)</t>
  </si>
  <si>
    <t xml:space="preserve">Incubation ecosystem — Same definition as sheet i) indicator (e); harmonised to that value (estimated, unverified). Narrow incubator count is (b).</t>
  </si>
  <si>
    <t xml:space="preserve">Harmonised: Same definition as sheet i) (e) — incubators + co-working + startup hubs; harmonised to one value.</t>
  </si>
  <si>
    <t xml:space="preserve">MSME contribution — Harmonised with sheet i) indicator (h): State Directorates of Economics and Statistics GSDP sectoral reports, 2023–2024 (compiler estimate, unverified).</t>
  </si>
  <si>
    <t xml:space="preserve">Harmonised: Harmonised with sheet i) indicator (h) so one value is used per city.</t>
  </si>
  <si>
    <t xml:space="preserve">Blue bold value = corrected or updated after cross-verification; amber bold = flagged for review. Full change history is in the Change Log sheet of each theme workbook.</t>
  </si>
  <si>
    <t xml:space="preserve">Bangalore — Environment &amp; Resources</t>
  </si>
  <si>
    <t xml:space="preserve">Clean Green Surroundings</t>
  </si>
  <si>
    <t xml:space="preserve">Green Cover — Forest &amp; Tree Proxy (%)</t>
  </si>
  <si>
    <t xml:space="preserve">12%</t>
  </si>
  <si>
    <t xml:space="preserve">Green cover — Proxy based on FSI India State of Forest Report (forest and tree cover), not a parks inventory. Delhi forest cover alone is 194.15 km² ≈ 13% of 1,483 km² (ISFR 2023). Values unverified.</t>
  </si>
  <si>
    <t xml:space="preserve">Visual Hygiene Index (/5)</t>
  </si>
  <si>
    <t xml:space="preserve">3.6</t>
  </si>
  <si>
    <t xml:space="preserve">Visual hygiene index — MoHUA Swachh Survekshan Citizen Feedback Component, 2023–2024</t>
  </si>
  <si>
    <t xml:space="preserve">Water Conservation</t>
  </si>
  <si>
    <t xml:space="preserve">RWH Coverage (%)</t>
  </si>
  <si>
    <t xml:space="preserve">65%</t>
  </si>
  <si>
    <t xml:space="preserve">RWH coverage — CGWB / Municipal RWH Compliance Audits, 2024</t>
  </si>
  <si>
    <t xml:space="preserve">Freshwater Recharge Capacity (ML/yr)</t>
  </si>
  <si>
    <t xml:space="preserve">1,200 ML/yr</t>
  </si>
  <si>
    <t xml:space="preserve">Freshwater recharge capacity — Estimated via CGWB Hydrological Model Projections, 2024</t>
  </si>
  <si>
    <t xml:space="preserve">Coverage in Critical Zones (%)</t>
  </si>
  <si>
    <t xml:space="preserve">78%</t>
  </si>
  <si>
    <t xml:space="preserve">Coverage in critical zones — State Ground Water Department Over-exploited Block Action Trackers, 2024</t>
  </si>
  <si>
    <t xml:space="preserve">Integration with Urban Drainage (%)</t>
  </si>
  <si>
    <t xml:space="preserve">40%</t>
  </si>
  <si>
    <t xml:space="preserve">Integration with urban drainage — Estimated based on Atal Mission (AMRUT) Stormwater Drainage Plans, 2024</t>
  </si>
  <si>
    <t xml:space="preserve">Adoption in Low- Income Areas (%)</t>
  </si>
  <si>
    <t xml:space="preserve">Adoption in low-income areas — Estimated via Slum Upgrading &amp; Urban Water Supply Baseline Surveys, 2024</t>
  </si>
  <si>
    <t xml:space="preserve">Resource-Efficient Econ</t>
  </si>
  <si>
    <t xml:space="preserve">Recycling Rate (%)</t>
  </si>
  <si>
    <t xml:space="preserve">55%</t>
  </si>
  <si>
    <t xml:space="preserve">Recycling rate — CPCB Co-processing and Material Recovery Facility Annual Registries, 2023–2024</t>
  </si>
  <si>
    <t xml:space="preserve">Energy Recovery from Waste (%)</t>
  </si>
  <si>
    <t xml:space="preserve">Energy recovery from waste — Ministry of New and Renewable Energy (MNRE) WtE Plant Trackers, 2024</t>
  </si>
  <si>
    <t xml:space="preserve">Carbon Reduction (tCO2/year)</t>
  </si>
  <si>
    <t xml:space="preserve">~32,000</t>
  </si>
  <si>
    <t xml:space="preserve">Carbon reduction — Climate Smart Cities Assessment Framework (CSCAF) Models, 2024</t>
  </si>
  <si>
    <t xml:space="preserve">Minimal Waste Adoption</t>
  </si>
  <si>
    <t xml:space="preserve">Existence of Zero- Waste Policy</t>
  </si>
  <si>
    <t xml:space="preserve">Yes</t>
  </si>
  <si>
    <t xml:space="preserve">Existence of zero-waste policy — State Urban Development Gazette Notifications, 2023</t>
  </si>
  <si>
    <t xml:space="preserve">Stakeholder Participation (%)</t>
  </si>
  <si>
    <t xml:space="preserve">68%</t>
  </si>
  <si>
    <t xml:space="preserve">Stakeholder participation — MoHUA Bulk Waste Generator Enforcement Monitoring Dashboards, 2024</t>
  </si>
  <si>
    <t xml:space="preserve">Policy Implementation Rate (%)</t>
  </si>
  <si>
    <t xml:space="preserve">Policy implementation rate — State Environmental Action Plan Annual Milestones, 2024</t>
  </si>
  <si>
    <t xml:space="preserve">Lifecycle Waste Reduction (%)</t>
  </si>
  <si>
    <t xml:space="preserve">9%</t>
  </si>
  <si>
    <t xml:space="preserve">Lifecycle waste reduction — Derived from Municipal Per Capita Daily Inflow Longitudinal Tracking, 2023–2024</t>
  </si>
  <si>
    <t xml:space="preserve">Climate-Resilient Cities</t>
  </si>
  <si>
    <t xml:space="preserve">Nature-Based Solutions Adoption (%)</t>
  </si>
  <si>
    <t xml:space="preserve">18%</t>
  </si>
  <si>
    <t xml:space="preserve">Nature-based solutions adoption — National Mission on Sustainable Habitat Progress Audits, 2024</t>
  </si>
  <si>
    <t xml:space="preserve">Policy Integration Level (/5)</t>
  </si>
  <si>
    <t xml:space="preserve">Policy integration level — CSCAF Urban Climate Resiliency Integration Indices, 2024</t>
  </si>
  <si>
    <t xml:space="preserve">Renewable Energy</t>
  </si>
  <si>
    <t xml:space="preserve">Grid Integration of Renewables (%)</t>
  </si>
  <si>
    <t xml:space="preserve">48.0%</t>
  </si>
  <si>
    <t xml:space="preserve">Grid integration of renewables — Central Electricity Authority (CEA) Power Mix Data, 2024</t>
  </si>
  <si>
    <t xml:space="preserve">Sanitation &amp; Drainage</t>
  </si>
  <si>
    <t xml:space="preserve">STP Capacity (MLD)</t>
  </si>
  <si>
    <t xml:space="preserve">1,450 MLD (City)</t>
  </si>
  <si>
    <t xml:space="preserve">STP capacity — CPCB National STP Inventory, 2023–2024; Delhi: DPCC sewage status, Mar 2025 (764 MGD = 3,474 MLD)</t>
  </si>
  <si>
    <t xml:space="preserve">Sewerage Network Coverage (%)</t>
  </si>
  <si>
    <t xml:space="preserve">Sewerage network coverage — Ministry of Housing and Urban Affairs (MoHUA) City Development Plans, 2023</t>
  </si>
  <si>
    <t xml:space="preserve">Household Sewer Connections (%)</t>
  </si>
  <si>
    <t xml:space="preserve">Household sewer connections — Estimated based on Municipal AMRUT Project Progress Records, 2024</t>
  </si>
  <si>
    <t xml:space="preserve">Coverage in Informal Areas (%)</t>
  </si>
  <si>
    <t xml:space="preserve">50%</t>
  </si>
  <si>
    <t xml:space="preserve">Coverage in informal areas — Estimated based on Slum Free City Action Plan baselines, 2024</t>
  </si>
  <si>
    <t xml:space="preserve">Flood-Prone Area Coverage (%)</t>
  </si>
  <si>
    <t xml:space="preserve">Flood-prone area coverage — Estimated via Municipal Stormwater Drainage Master Plans, 2024</t>
  </si>
  <si>
    <t xml:space="preserve">Sewage Treatment Efficiency (%)</t>
  </si>
  <si>
    <t xml:space="preserve">88%</t>
  </si>
  <si>
    <t xml:space="preserve">Sewage treatment efficiency — Derived from CPCB Wastewater Generation vs Treated Capacity Estimates, 2023–2024</t>
  </si>
  <si>
    <t xml:space="preserve">Water Quality Post- Treatment (BOD/COD)</t>
  </si>
  <si>
    <t xml:space="preserve">BOD: ~10 COD: ~45</t>
  </si>
  <si>
    <t xml:space="preserve">Water quality posttreatment — State Pollution Control Boards (SPCB) Treated Effluent Monthly Monitoring, 2024</t>
  </si>
  <si>
    <t xml:space="preserve">Air Quality Monitoring</t>
  </si>
  <si>
    <t xml:space="preserve">Monitoring Density (Stations/km²)</t>
  </si>
  <si>
    <t xml:space="preserve">0.020</t>
  </si>
  <si>
    <t xml:space="preserve">Monitoring density — Harmonised with sheet x) (a): CPCB CAAQMS station count ÷ city area, 2024. Delhi ~37 stations ÷ 1,483 km² ≈ 0.025.</t>
  </si>
  <si>
    <t xml:space="preserve">Harmonised: Harmonised with sheet x) (a), calculated from CPCB CAAQMS station counts ÷ city area.</t>
  </si>
  <si>
    <t xml:space="preserve">Waste Mgmt Adoption</t>
  </si>
  <si>
    <t xml:space="preserve">Waste Collection Coverage (%)</t>
  </si>
  <si>
    <t xml:space="preserve">98%</t>
  </si>
  <si>
    <t xml:space="preserve">Waste collection coverage — MoHUA Swachh Survekshan Assessment Dashboard, 2023</t>
  </si>
  <si>
    <t xml:space="preserve">Recycling rate — MoHUA Swachh Survekshan Solid Waste Processing Metrics, 2023</t>
  </si>
  <si>
    <t xml:space="preserve">Pollution Control</t>
  </si>
  <si>
    <t xml:space="preserve">Monitoring Density (Air, Stations/km²)</t>
  </si>
  <si>
    <t xml:space="preserve">Monitoring density — Calculated from CPCB Live Continuous Ambient Air Quality Monitoring Stations (CAAQMS), 2024</t>
  </si>
  <si>
    <t xml:space="preserve">Treatment Capacity (WTP MLD per 100k pop)</t>
  </si>
  <si>
    <t xml:space="preserve">11.1 MLD/100k</t>
  </si>
  <si>
    <t xml:space="preserve">Treatment capacity — WTP capacity in MLD per 100,000 population (estimated from CPHEEO WTP operational capacity vs Census projections, 2024). Delhi check: ~4,500 MLD ÷ ~22 M ≈ 20 per 100k.</t>
  </si>
  <si>
    <t xml:space="preserve">Landfill Sites (Number)</t>
  </si>
  <si>
    <t xml:space="preserve">4</t>
  </si>
  <si>
    <t xml:space="preserve">Landfill sites — CPCB Consolidated Annual Report on Municipal Solid Waste Management, 2023–2024</t>
  </si>
  <si>
    <t xml:space="preserve">Availability of Water Bodies (MCM)</t>
  </si>
  <si>
    <t xml:space="preserve">~65 MCM (City)</t>
  </si>
  <si>
    <t xml:space="preserve">Availability of water bodies — State Wetland Authorities &amp; Municipal Blue Economy Inventories, 2024</t>
  </si>
  <si>
    <t xml:space="preserve">Water Quality Status (%)</t>
  </si>
  <si>
    <t xml:space="preserve">25%</t>
  </si>
  <si>
    <t xml:space="preserve">Water quality status — Central Pollution Control Board (CPCB) Water Quality Monitoring Network, 2024–2025</t>
  </si>
  <si>
    <t xml:space="preserve">Air Quality Index (AQI)</t>
  </si>
  <si>
    <t xml:space="preserve">75</t>
  </si>
  <si>
    <t xml:space="preserve">Air Quality Index — Delhi: CAQM annual average AQI 2024 (209). Other cities: compiler values, unverified — replace with CPCB annual averages.</t>
  </si>
  <si>
    <t xml:space="preserve">Flagged: Unverified; replace with the CPCB annual average AQI for this city.</t>
  </si>
  <si>
    <t xml:space="preserve">Noise Levels (dB, Day/Night)</t>
  </si>
  <si>
    <t xml:space="preserve">64 / 54 dB (City)</t>
  </si>
  <si>
    <t xml:space="preserve">Noise levels — CPCB Ambient Noise Level Monitoring Network Report, 2024</t>
  </si>
  <si>
    <t xml:space="preserve">Water Quality (Potability, %)</t>
  </si>
  <si>
    <t xml:space="preserve">Water quality — Department of Drinking Water and Sanitation / Jal Jeevan Mission Urban Dashboards, 2024</t>
  </si>
  <si>
    <t xml:space="preserve">Pollution Exposure in Vulnerable Areas</t>
  </si>
  <si>
    <t xml:space="preserve">95 AQI, 68 dB, 70%</t>
  </si>
  <si>
    <t xml:space="preserve">Pollution exposure in vulnerable areas — Estimated based on Center for Science and Environment (CSE) Urban Slum Field Studies, 2024</t>
  </si>
  <si>
    <t xml:space="preserve">Access to Clean Environment (%)</t>
  </si>
  <si>
    <t xml:space="preserve">Access to clean environment — Estimated via Environmental Performance Index (EPI) India City Analysis Profiles, 2024</t>
  </si>
  <si>
    <t xml:space="preserve">Environmental Complaint Resolution (%)</t>
  </si>
  <si>
    <t xml:space="preserve">81%</t>
  </si>
  <si>
    <t xml:space="preserve">Environmental complaint resolution — State Integrated Grievance Redressal Portals (e.g., Green Delhi App, RajSampark), 2024</t>
  </si>
  <si>
    <t xml:space="preserve">Waste Mgmt &amp; Control 2</t>
  </si>
  <si>
    <t xml:space="preserve">Landfill Dependency (%)</t>
  </si>
  <si>
    <t xml:space="preserve">Landfill dependency — MoHUA Swachh Survekshan Solid Waste Processing Performance Matrix, 2024</t>
  </si>
  <si>
    <t xml:space="preserve">Energy recovery from waste — Ministry of New and Renewable Energy (MNRE) Power Generation Reports, 2024</t>
  </si>
  <si>
    <t xml:space="preserve">Bangalore — Governance &amp; Technology</t>
  </si>
  <si>
    <t xml:space="preserve">Inclusive Communities</t>
  </si>
  <si>
    <t xml:space="preserve">Reported Communal Disturbance Cases</t>
  </si>
  <si>
    <t xml:space="preserve">1</t>
  </si>
  <si>
    <t xml:space="preserve">Reported communal disturbance cases — National Crime Records Bureau (NCRB) - Crime in India Annual Report, 2023–2024</t>
  </si>
  <si>
    <t xml:space="preserve">Availability of Community Centers</t>
  </si>
  <si>
    <t xml:space="preserve">1.2</t>
  </si>
  <si>
    <t xml:space="preserve">Availability of community centers — Estimated from Municipal Infrastructure Asset Registers &amp; Ward Master Plans, 2024</t>
  </si>
  <si>
    <t xml:space="preserve">Social Cohesion Index (/5)</t>
  </si>
  <si>
    <t xml:space="preserve">4.1</t>
  </si>
  <si>
    <t xml:space="preserve">Social cohesion index — Compiler estimate (unverified). No MoHUA Ease of Living perception-survey results for 2023–24 have been published; the latest published edition is EoLI 2020.</t>
  </si>
  <si>
    <t xml:space="preserve">Citizen Participation</t>
  </si>
  <si>
    <t xml:space="preserve">Digital Governance Platforms (Number)</t>
  </si>
  <si>
    <t xml:space="preserve">11</t>
  </si>
  <si>
    <t xml:space="preserve">Digital governance platforms — National e-Governance Division (NeGD) / Smart Cities Mission IT Progress Trackers, 2024</t>
  </si>
  <si>
    <t xml:space="preserve">Grievance Resolution Rate (%)</t>
  </si>
  <si>
    <t xml:space="preserve">84%</t>
  </si>
  <si>
    <t xml:space="preserve">Grievance resolution rate — MoHUA Smart Cities Mission Central Management Information System (MIS), 2024</t>
  </si>
  <si>
    <t xml:space="preserve">Transparent Governance</t>
  </si>
  <si>
    <t xml:space="preserve">Citizen Satisfaction with Governance (%)</t>
  </si>
  <si>
    <t xml:space="preserve">74%</t>
  </si>
  <si>
    <t xml:space="preserve">Citizen satisfaction with governance — Compiler estimate (unverified). No MoHUA Ease of Living perception-survey results for 2023–24 have been published; the latest published edition is EoLI 2020.</t>
  </si>
  <si>
    <t xml:space="preserve">Unverified: No published 2023–24 survey behind this value.</t>
  </si>
  <si>
    <t xml:space="preserve">80%</t>
  </si>
  <si>
    <t xml:space="preserve">Policy implementation rate — Estimated based on Smart Cities Mission Project Milestone Progress Dashboards, 2024</t>
  </si>
  <si>
    <t xml:space="preserve">Representation Diversity (%)</t>
  </si>
  <si>
    <t xml:space="preserve">Representation diversity — Statutory reservation of municipal council seats for women (State Election Commission notifications). Delhi 50% per SEC Delhi press note, 4 Nov 2022. Pune and Bengaluru had no elected council in 2023–24; their values are notional.</t>
  </si>
  <si>
    <t xml:space="preserve">Notional: Statutory 50% reservation; BBMP has had no elected council since Sept 2020, so 2023–24 value is notional.</t>
  </si>
  <si>
    <t xml:space="preserve">Real-Time City Mgmt</t>
  </si>
  <si>
    <t xml:space="preserve">Area Coverage (ICCC Sufficiency, %)</t>
  </si>
  <si>
    <t xml:space="preserve">Area coverage — National Smart Cities Mission (SCM) Integrated Command and Control Centre Database, 2024</t>
  </si>
  <si>
    <t xml:space="preserve">Area Coverage (CCTV, %)</t>
  </si>
  <si>
    <t xml:space="preserve">82%</t>
  </si>
  <si>
    <t xml:space="preserve">Area coverage — City Police IT &amp; Surveillance Wing Deployment Audits, 2024</t>
  </si>
  <si>
    <t xml:space="preserve">Incident Response Time (min)</t>
  </si>
  <si>
    <t xml:space="preserve">18 min (City)</t>
  </si>
  <si>
    <t xml:space="preserve">Incident response time — State Integrated Emergency Response Logs (Dial 112 / ICCC Data), 2024</t>
  </si>
  <si>
    <t xml:space="preserve">Digital Public Services</t>
  </si>
  <si>
    <t xml:space="preserve">Total Digital Kiosks (per Population)</t>
  </si>
  <si>
    <t xml:space="preserve">5.8</t>
  </si>
  <si>
    <t xml:space="preserve">Total number of digital kiosks — Estimated via Municipal Smart Infrastructure Asset Registers, 2024</t>
  </si>
  <si>
    <t xml:space="preserve">Digital Participation &amp; Transaction Penetration (%)</t>
  </si>
  <si>
    <t xml:space="preserve">94%</t>
  </si>
  <si>
    <t xml:space="preserve">Digital Participation and Transaction Penetration — RBI Digital Payments Index &amp; NPCI Geo-transaction Projections, 2024</t>
  </si>
  <si>
    <t xml:space="preserve">Accessibility for Small Vendors (%)</t>
  </si>
  <si>
    <t xml:space="preserve">96%</t>
  </si>
  <si>
    <t xml:space="preserve">Accessibility for small vendors — Ministry of Housing and Urban Affairs (MoHUA) PM SVANidhi Onboarding Portals, 2024</t>
  </si>
  <si>
    <t xml:space="preserve">Hotspot Density (Wi-Fi/km²)</t>
  </si>
  <si>
    <t xml:space="preserve">0.72</t>
  </si>
  <si>
    <t xml:space="preserve">Hotspot density — Department of Telecommunications (DoT) &amp; State IT Department Deployment Registries, 2024</t>
  </si>
  <si>
    <t xml:space="preserve">Network Coverage (4G/5G, %)</t>
  </si>
  <si>
    <t xml:space="preserve">99%</t>
  </si>
  <si>
    <t xml:space="preserve">Network coverage — Telecom Regulatory Authority of India (TRAI) Quality of Service (QoS) Reports, 2024</t>
  </si>
  <si>
    <t xml:space="preserve">Disaster Mitigation</t>
  </si>
  <si>
    <t xml:space="preserve">Sensor Density in Hazard Zones</t>
  </si>
  <si>
    <t xml:space="preserve">1.1</t>
  </si>
  <si>
    <t xml:space="preserve">Sensor density in hazard zones — Estimated from Municipal Smart Drainage &amp; Disaster Management Sensor Registries, 2024</t>
  </si>
  <si>
    <t xml:space="preserve">Binary Coverage of Mitigation Centres (%)</t>
  </si>
  <si>
    <t xml:space="preserve">Binary coverage of mitigation centres — National Disaster Management Authority (NDMA) Resilient Cities Structural Audits, 2024</t>
  </si>
  <si>
    <t xml:space="preserve">Early Warning Dissemination Coverage (%)</t>
  </si>
  <si>
    <t xml:space="preserve">85%</t>
  </si>
  <si>
    <t xml:space="preserve">Early warning dissemination coverage — State Disaster Management Authority (SDMA) Emergency Broadcast Tracking, 2024</t>
  </si>
  <si>
    <t xml:space="preserve">Emergency Infrastructure (Number)</t>
  </si>
  <si>
    <t xml:space="preserve">80</t>
  </si>
  <si>
    <t xml:space="preserve">Emergency infrastructure — Estimated based on State Disaster Management Authority (SDMA) Shelter Inventories, 2024</t>
  </si>
  <si>
    <t xml:space="preserve">Investment in Flood Mitigation (% Budget)</t>
  </si>
  <si>
    <t xml:space="preserve">4.2%</t>
  </si>
  <si>
    <t xml:space="preserve">Investment in flood mitigation — Combined Municipal Corporation Annual Budget Allocations, 2024–2025</t>
  </si>
  <si>
    <t xml:space="preserve">Citizen Satisfaction</t>
  </si>
  <si>
    <t xml:space="preserve">Citizen Satisfaction Index (/5)</t>
  </si>
  <si>
    <t xml:space="preserve">3.8</t>
  </si>
  <si>
    <t xml:space="preserve">Citizen satisfaction index — Compiler estimate (unverified). No MoHUA Ease of Living perception-survey results for 2023–24 have been published; the latest published edition is EoLI 2020.</t>
  </si>
  <si>
    <t xml:space="preserve">Safe Public Spaces</t>
  </si>
  <si>
    <t xml:space="preserve">Police Personnel Strength (per 100k)</t>
  </si>
  <si>
    <t xml:space="preserve">220</t>
  </si>
  <si>
    <t xml:space="preserve">Police personnel strength — Bureau of Police Research and Development (BPR&amp;D) - Data on Police Organizations, 2024</t>
  </si>
  <si>
    <t xml:space="preserve">Vehicle-to-Population Ratio (per 100k)</t>
  </si>
  <si>
    <t xml:space="preserve">32.0</t>
  </si>
  <si>
    <t xml:space="preserve">Vehicle-to- population ratio — Estimated from BPR&amp;D Fleet Allocation and Modernization Statistics, 2024</t>
  </si>
  <si>
    <t xml:space="preserve">Response Unit Coverage (%)</t>
  </si>
  <si>
    <t xml:space="preserve">70%</t>
  </si>
  <si>
    <t xml:space="preserve">Response unit coverage — City Police ICCC Logistical Network GIS Audits, 2024</t>
  </si>
  <si>
    <t xml:space="preserve">Charge-sheeting Rate (%)</t>
  </si>
  <si>
    <t xml:space="preserve">Charge-sheeting rate — NCRB Crime in India (Metropolitan Cities). NCRB publishes a charge-sheeting rate, not a "clearance rate"; values not re-verified, 2023–2024</t>
  </si>
  <si>
    <t xml:space="preserve">Crowd Incident Mgmt Success (%)</t>
  </si>
  <si>
    <t xml:space="preserve">99.0% (City)</t>
  </si>
  <si>
    <t xml:space="preserve">Crowd incident management success — State Home Department Law &amp; Order Annual Reviews, 2024</t>
  </si>
  <si>
    <t xml:space="preserve">Integration with ICCC (%)</t>
  </si>
  <si>
    <t xml:space="preserve">Integration with ICCC — National Smart Cities Mission Project Completion Tracking Database, 2024</t>
  </si>
  <si>
    <t xml:space="preserve">Gender-Sensitive Policing (%)</t>
  </si>
  <si>
    <t xml:space="preserve">58%</t>
  </si>
  <si>
    <t xml:space="preserve">Gender-sensitive policing — BPR&amp;D Women in Police Empowerment Initiatives Progress Reports, 2024</t>
  </si>
  <si>
    <t xml:space="preserve">Bangalore — Mobility &amp; Accessibility</t>
  </si>
  <si>
    <t xml:space="preserve">Road Connectivity</t>
  </si>
  <si>
    <t xml:space="preserve">Length of Arterial Roads</t>
  </si>
  <si>
    <t xml:space="preserve">Art: 280 km | Sub: 410 km</t>
  </si>
  <si>
    <t xml:space="preserve">CMP Bengaluru / DULT (2025)</t>
  </si>
  <si>
    <t xml:space="preserve">Expressway &amp; Ring Connectivity</t>
  </si>
  <si>
    <t xml:space="preserve">NE 7 Link; Choked Radial ORR</t>
  </si>
  <si>
    <t xml:space="preserve">Road Capacity Adequacy (Existing/URDPFI %)</t>
  </si>
  <si>
    <t xml:space="preserve">64.2% (35.8% Deficit)</t>
  </si>
  <si>
    <t xml:space="preserve">Level of Service (LoS) (Flow &amp; Speed Parameters)</t>
  </si>
  <si>
    <t xml:space="preserve">Severe Bottlenecks | 12-15 km/h</t>
  </si>
  <si>
    <t xml:space="preserve">Third-party source</t>
  </si>
  <si>
    <t xml:space="preserve">Congestion &amp; Free Flow</t>
  </si>
  <si>
    <t xml:space="preserve">Arterial Road Coverage (% Under Traffic Controls)</t>
  </si>
  <si>
    <t xml:space="preserve">44%</t>
  </si>
  <si>
    <t xml:space="preserve">TomTom Traffic Index / BTP Analytics (2025)</t>
  </si>
  <si>
    <t xml:space="preserve">Congestion Index (Peak vs Free-Flow Time)</t>
  </si>
  <si>
    <t xml:space="preserve">1.74x (TomTom 2025: 74.4%)</t>
  </si>
  <si>
    <t xml:space="preserve">Corrected: TomTom Traffic Index 2025 congestion level 74.4%.</t>
  </si>
  <si>
    <t xml:space="preserve">Road Discipline Index (User Compliance Score/100)</t>
  </si>
  <si>
    <t xml:space="preserve">55 / 100</t>
  </si>
  <si>
    <t xml:space="preserve">Cycling Infrastructure</t>
  </si>
  <si>
    <t xml:space="preserve">Cycle Track Infrastructure (Dedicated Active Length)</t>
  </si>
  <si>
    <t xml:space="preserve">34 km</t>
  </si>
  <si>
    <t xml:space="preserve">DULT NMT Design Manual / BBMP (2025)</t>
  </si>
  <si>
    <t xml:space="preserve">Cycle Parking Facilities (Registered Stations)</t>
  </si>
  <si>
    <t xml:space="preserve">24 Stations</t>
  </si>
  <si>
    <t xml:space="preserve">Quality &amp; Comfort Index (Composite Score/100)</t>
  </si>
  <si>
    <t xml:space="preserve">48 / 100</t>
  </si>
  <si>
    <t xml:space="preserve">Pedestrian Footpaths</t>
  </si>
  <si>
    <t xml:space="preserve">Footpath Coverage (% Roads with Sidewalks)</t>
  </si>
  <si>
    <t xml:space="preserve">ITDP Footpath Performance Trackers (2025)</t>
  </si>
  <si>
    <t xml:space="preserve">NMT Zones Area (Pedestrian-Only Spaces)</t>
  </si>
  <si>
    <t xml:space="preserve">8 hectares</t>
  </si>
  <si>
    <t xml:space="preserve">Walkability Index (Continuity &amp; Safety/100)</t>
  </si>
  <si>
    <t xml:space="preserve">64 / 100</t>
  </si>
  <si>
    <t xml:space="preserve">Universal Accessibility (% Compliant Ramps/Tactile)</t>
  </si>
  <si>
    <t xml:space="preserve">Comfort Index (Shade &amp; Furniture Score/100)</t>
  </si>
  <si>
    <t xml:space="preserve">58 / 100</t>
  </si>
  <si>
    <t xml:space="preserve">Mass Public Transport</t>
  </si>
  <si>
    <t xml:space="preserve">MRT System Presence (Metro / BRT / LRT)</t>
  </si>
  <si>
    <t xml:space="preserve">Metro Active (BMRCL)</t>
  </si>
  <si>
    <t xml:space="preserve">BMRCL Operational Statistics Grid (2025)</t>
  </si>
  <si>
    <t xml:space="preserve">Coverage of MRT Network (% Served Population)</t>
  </si>
  <si>
    <t xml:space="preserve">38%</t>
  </si>
  <si>
    <t xml:space="preserve">Proximity to MRT Stations (Avg Mile-to-Mile Distance)</t>
  </si>
  <si>
    <t xml:space="preserve">1.4 KM</t>
  </si>
  <si>
    <t xml:space="preserve">Ridership / Footfall (Avg Daily/Design Capacity %)</t>
  </si>
  <si>
    <t xml:space="preserve">Travel Time Efficiency (Avg Time Saved/10KM)</t>
  </si>
  <si>
    <t xml:space="preserve">38 Mins</t>
  </si>
  <si>
    <t xml:space="preserve">Not rated</t>
  </si>
  <si>
    <t xml:space="preserve">Accessibility for Vulnerable Groups (Compliance Score/100)</t>
  </si>
  <si>
    <t xml:space="preserve">82 / 100</t>
  </si>
  <si>
    <t xml:space="preserve">Intelligent Systems &amp; Hubs</t>
  </si>
  <si>
    <t xml:space="preserve">Airport Connectivity (National &amp; International)</t>
  </si>
  <si>
    <t xml:space="preserve">Primary Hub (BIAL); T1 &amp; T2</t>
  </si>
  <si>
    <t xml:space="preserve">BIAL / Bangalore Traffic Management Plan (2025)</t>
  </si>
  <si>
    <t xml:space="preserve">Waterways Connectivity (National &amp; Internal Links)</t>
  </si>
  <si>
    <t xml:space="preserve">Absent</t>
  </si>
  <si>
    <t xml:space="preserve">Intelligent Traffic Systems (ITS) (% of Signalized Intersections)</t>
  </si>
  <si>
    <t xml:space="preserve">62% (AI Management)</t>
  </si>
  <si>
    <t xml:space="preserve">Roadways Inter-State Connections (Outstation Bus Stands)</t>
  </si>
  <si>
    <t xml:space="preserve">High Density Outstations</t>
  </si>
  <si>
    <t xml:space="preserve">Railway Connectivity (Outstation Rail Terminals Layout)</t>
  </si>
  <si>
    <t xml:space="preserve">Saraswathipura Hub Complex</t>
  </si>
  <si>
    <t xml:space="preserve">Parking Management</t>
  </si>
  <si>
    <t xml:space="preserve">Multilevel Parking Facilities (Active Structure Count)</t>
  </si>
  <si>
    <t xml:space="preserve">6 MLCP Operational Units</t>
  </si>
  <si>
    <t xml:space="preserve">BBMP / DULT Smart Parking Status Reports (2025)</t>
  </si>
  <si>
    <t xml:space="preserve">Parking Density (Spaces per Vehicle/Area)</t>
  </si>
  <si>
    <t xml:space="preserve">0.38 spaces/vehicle</t>
  </si>
  <si>
    <t xml:space="preserve">Parking Coverage (Major Commercial Areas Served)</t>
  </si>
  <si>
    <t xml:space="preserve">CBD Zones Smart Parking Connected</t>
  </si>
  <si>
    <t xml:space="preserve">Distance to Parking (Avg Walk to Destination)</t>
  </si>
  <si>
    <t xml:space="preserve">300 meters</t>
  </si>
  <si>
    <t xml:space="preserve">Illegal Parking (On-Street Infraction Level)</t>
  </si>
  <si>
    <t xml:space="preserve">Severe Curb Intrusion</t>
  </si>
  <si>
    <t xml:space="preserve">Accessibility for PwD (% Reserved Parking Bays)</t>
  </si>
  <si>
    <t xml:space="preserve">Bangalore — Social Infrastructure</t>
  </si>
  <si>
    <t xml:space="preserve">Inclusive Living</t>
  </si>
  <si>
    <t xml:space="preserve">Slum vs City Area Change Rate</t>
  </si>
  <si>
    <t xml:space="preserve">-2.1% / +4.8%</t>
  </si>
  <si>
    <t xml:space="preserve">BBMP / Karnataka Slum Development Board (2024)</t>
  </si>
  <si>
    <t xml:space="preserve">Slum Population Proportion</t>
  </si>
  <si>
    <t xml:space="preserve">8.2%</t>
  </si>
  <si>
    <t xml:space="preserve">Verified: Matches Census 2011 (8.4%).</t>
  </si>
  <si>
    <t xml:space="preserve">Access to Formal Housing Post-Redevelopment</t>
  </si>
  <si>
    <t xml:space="preserve">Quality of Life</t>
  </si>
  <si>
    <t xml:space="preserve">Access to Basic Services (%)</t>
  </si>
  <si>
    <t xml:space="preserve">DULT / BBMP Quality of Life Trackers (2025)</t>
  </si>
  <si>
    <t xml:space="preserve">Travel Congestion Index</t>
  </si>
  <si>
    <t xml:space="preserve">1.74x</t>
  </si>
  <si>
    <t xml:space="preserve">Citizen Satisfaction Rating (/5)</t>
  </si>
  <si>
    <t xml:space="preserve">3.8 / 5.0</t>
  </si>
  <si>
    <t xml:space="preserve">Unverified: No published 2023–24 citizen survey behind this value.</t>
  </si>
  <si>
    <t xml:space="preserve">Innovation &amp; Knowledge</t>
  </si>
  <si>
    <t xml:space="preserve">Startup Incubators supported</t>
  </si>
  <si>
    <t xml:space="preserve">Startup India Dashboard / NIRF / IISc Reports (2025)</t>
  </si>
  <si>
    <t xml:space="preserve">Harmonised: Harmonised with Economic Opportunities sheet ii) indicator (b), the narrow incubator count.</t>
  </si>
  <si>
    <t xml:space="preserve">NIRF Ranked Institutes Count</t>
  </si>
  <si>
    <t xml:space="preserve">18</t>
  </si>
  <si>
    <t xml:space="preserve">CFTI &amp; SFTI Institutions</t>
  </si>
  <si>
    <t xml:space="preserve">8</t>
  </si>
  <si>
    <t xml:space="preserve">NIRF Score Average</t>
  </si>
  <si>
    <t xml:space="preserve">61.5</t>
  </si>
  <si>
    <t xml:space="preserve">Food Security</t>
  </si>
  <si>
    <t xml:space="preserve">Ration Shops per 10,000 Population</t>
  </si>
  <si>
    <t xml:space="preserve">1.4</t>
  </si>
  <si>
    <t xml:space="preserve">Food &amp; Civil Supplies Dept Karnataka (2024)</t>
  </si>
  <si>
    <t xml:space="preserve">PDS System Digital Infrastructure Access</t>
  </si>
  <si>
    <t xml:space="preserve">Ahara Karnataka PDS Portal</t>
  </si>
  <si>
    <t xml:space="preserve">Culture &amp; Green Spaces</t>
  </si>
  <si>
    <t xml:space="preserve">Recreational Area Per Capita</t>
  </si>
  <si>
    <t xml:space="preserve">6.8 sq.m</t>
  </si>
  <si>
    <t xml:space="preserve">BBMP Horticulture / IISc Urban Canopy Studies (2025)</t>
  </si>
  <si>
    <t xml:space="preserve">User Satisfaction Score (/5)</t>
  </si>
  <si>
    <t xml:space="preserve">4.1 / 5.0</t>
  </si>
  <si>
    <t xml:space="preserve">Sports &amp; Wellness</t>
  </si>
  <si>
    <t xml:space="preserve">Total Registered Sports Facilities</t>
  </si>
  <si>
    <t xml:space="preserve">36</t>
  </si>
  <si>
    <t xml:space="preserve">Karnataka Youth Empowerment &amp; Sports Dept (2025)</t>
  </si>
  <si>
    <t xml:space="preserve">High-Performance Training Centers</t>
  </si>
  <si>
    <t xml:space="preserve">4 (Kanteerava, Padukone-Dravid Centre)</t>
  </si>
  <si>
    <t xml:space="preserve">Universal Accessibility</t>
  </si>
  <si>
    <t xml:space="preserve">Accessible Public Buildings (%)</t>
  </si>
  <si>
    <t xml:space="preserve">BBMP Smart City / DULT Walkability Framework (2025)</t>
  </si>
  <si>
    <t xml:space="preserve">Accessible Transport Infra (%)</t>
  </si>
  <si>
    <t xml:space="preserve">Universal Walkability Score (/100)</t>
  </si>
  <si>
    <t xml:space="preserve">52 / 100</t>
  </si>
  <si>
    <t xml:space="preserve">Child &amp; Elderly Support</t>
  </si>
  <si>
    <t xml:space="preserve">Facility Density (Per 100k Target Pop)</t>
  </si>
  <si>
    <t xml:space="preserve">1.9</t>
  </si>
  <si>
    <t xml:space="preserve">Karnataka Social Justice Portal / BBMP (2025)</t>
  </si>
  <si>
    <t xml:space="preserve">Capacity per Target Pop (%)</t>
  </si>
  <si>
    <t xml:space="preserve">Funding per Beneficiary (Annual)</t>
  </si>
  <si>
    <t xml:space="preserve">₹14,200</t>
  </si>
  <si>
    <t xml:space="preserve">Gender-Sensitive Care Provision</t>
  </si>
  <si>
    <t xml:space="preserve">Advanced</t>
  </si>
  <si>
    <t xml:space="preserve">Foundational Education</t>
  </si>
  <si>
    <t xml:space="preserve">Infrastructure Adequacy Index</t>
  </si>
  <si>
    <t xml:space="preserve">78 / 100</t>
  </si>
  <si>
    <t xml:space="preserve">Karnataka Education Dept / BBMP Infrastructure (2025)</t>
  </si>
  <si>
    <t xml:space="preserve">Advanced Educational Infra Availability</t>
  </si>
  <si>
    <t xml:space="preserve">Senior Secondary Completion Rate</t>
  </si>
  <si>
    <t xml:space="preserve">Higher Education Completion Rate</t>
  </si>
  <si>
    <t xml:space="preserve">79%</t>
  </si>
  <si>
    <t xml:space="preserve">Dropout Rate (%)</t>
  </si>
  <si>
    <t xml:space="preserve">2.1%</t>
  </si>
  <si>
    <t xml:space="preserve">Student-Teacher Ratio</t>
  </si>
  <si>
    <t xml:space="preserve">24:1</t>
  </si>
  <si>
    <t xml:space="preserve">Public Expenditure Per Student</t>
  </si>
  <si>
    <t xml:space="preserve">₹28,600</t>
  </si>
  <si>
    <t xml:space="preserve">Affordable Housing</t>
  </si>
  <si>
    <t xml:space="preserve">Estimated Housing Shortage (EWS/LIG)</t>
  </si>
  <si>
    <t xml:space="preserve">165,000 units</t>
  </si>
  <si>
    <t xml:space="preserve">Rajiv Gandhi Housing Corporation / BBMP (2024)</t>
  </si>
  <si>
    <t xml:space="preserve">Healthcare Infrastructure</t>
  </si>
  <si>
    <t xml:space="preserve">Large Hospitals Count (Multi-Category)</t>
  </si>
  <si>
    <t xml:space="preserve">26</t>
  </si>
  <si>
    <t xml:space="preserve">Karnataka Health Dept / National Health Mission (2025)</t>
  </si>
  <si>
    <t xml:space="preserve">Healthcare Facility Density (Per 10,000 Pop)</t>
  </si>
  <si>
    <t xml:space="preserve">2.4</t>
  </si>
  <si>
    <t xml:space="preserve">Total Registered Doctors (Per 100,000 Pop)</t>
  </si>
  <si>
    <t xml:space="preserve">120</t>
  </si>
  <si>
    <t xml:space="preserve">Specialty Hospitals (Count)</t>
  </si>
  <si>
    <t xml:space="preserve">35</t>
  </si>
  <si>
    <t xml:space="preserve">Bangalore — Urban Infrastructure</t>
  </si>
  <si>
    <t xml:space="preserve">Sanitation &amp; Toilets</t>
  </si>
  <si>
    <t xml:space="preserve">Public Toilets (Per 1k Pop/sq.km)</t>
  </si>
  <si>
    <t xml:space="preserve">BBMP Swachh Bharat Cell Dashboard (2025)</t>
  </si>
  <si>
    <t xml:space="preserve">Markets/Hubs with Toilet Access (%)</t>
  </si>
  <si>
    <t xml:space="preserve">Accessible for PwD Users (%)</t>
  </si>
  <si>
    <t xml:space="preserve">Inspection Cleanliness Score (Out of 5.0)</t>
  </si>
  <si>
    <t xml:space="preserve">3.7 / 5.0</t>
  </si>
  <si>
    <t xml:space="preserve">Slums/EWS Areas with Toilet Access (%)</t>
  </si>
  <si>
    <t xml:space="preserve">Potable Water Supply</t>
  </si>
  <si>
    <t xml:space="preserve">Potable Water Supplied (Per Capita / Day)</t>
  </si>
  <si>
    <t xml:space="preserve">110 L</t>
  </si>
  <si>
    <t xml:space="preserve">BWSSB Cauvery Phase-V Progress Matrix (2025)</t>
  </si>
  <si>
    <t xml:space="preserve">Households with Smart/ Prepaid Meters (%)</t>
  </si>
  <si>
    <t xml:space="preserve">28%</t>
  </si>
  <si>
    <t xml:space="preserve">Total Installed WTP Capacity (MLD)</t>
  </si>
  <si>
    <t xml:space="preserve">1850 MLD</t>
  </si>
  <si>
    <t xml:space="preserve">Supply Deficit Index ((Demand-Supply)/Dem %)</t>
  </si>
  <si>
    <t xml:space="preserve">18.2%</t>
  </si>
  <si>
    <t xml:space="preserve">Households Connected to Piped Water (%)</t>
  </si>
  <si>
    <t xml:space="preserve">64%</t>
  </si>
  <si>
    <t xml:space="preserve">Average Supply Hours (Per Day)</t>
  </si>
  <si>
    <t xml:space="preserve">2.0 hrs</t>
  </si>
  <si>
    <t xml:space="preserve">Energy Supply &amp; Reliability</t>
  </si>
  <si>
    <t xml:space="preserve">Households with Electricity Access (%)</t>
  </si>
  <si>
    <t xml:space="preserve">99.6%</t>
  </si>
  <si>
    <t xml:space="preserve">BESCOM Power Grid Supply Indicators (2025)</t>
  </si>
  <si>
    <t xml:space="preserve">Total Power Generation Capacity Available</t>
  </si>
  <si>
    <t xml:space="preserve">3800 MW</t>
  </si>
  <si>
    <t xml:space="preserve">No. of Substations / Transformers</t>
  </si>
  <si>
    <t xml:space="preserve">455</t>
  </si>
  <si>
    <t xml:space="preserve">Households with Smart / Prepaid Meters (%)</t>
  </si>
  <si>
    <t xml:space="preserve">32%</t>
  </si>
  <si>
    <t xml:space="preserve">Avg Hours of Electricity Supply Per Day</t>
  </si>
  <si>
    <t xml:space="preserve">23.2 hrs</t>
  </si>
  <si>
    <t xml:space="preserve">System Uptime Uptime (SAIDI/SAIFI %)</t>
  </si>
  <si>
    <t xml:space="preserve">99.1%</t>
  </si>
  <si>
    <t xml:space="preserve">Slums / EWS Areas Electrified (%)</t>
  </si>
  <si>
    <t xml:space="preserve">95%</t>
  </si>
  <si>
    <t xml:space="preserve">Grid Integrated with Smart/ICT Systems (%)</t>
  </si>
  <si>
    <t xml:space="preserve">Cost vs Income Variation Rating</t>
  </si>
  <si>
    <t xml:space="preserve">Supply Variation Across Wards Rating</t>
  </si>
  <si>
    <t xml:space="preserve">Organized Urban Spaces</t>
  </si>
  <si>
    <t xml:space="preserve">Formal Markets Area (% of City Area)</t>
  </si>
  <si>
    <t xml:space="preserve">6.8%</t>
  </si>
  <si>
    <t xml:space="preserve">BBMP Town Planning / Commercial Density (2025)</t>
  </si>
  <si>
    <t xml:space="preserve">Parking Spaces (Per Market Area)</t>
  </si>
  <si>
    <t xml:space="preserve">22 spaces</t>
  </si>
  <si>
    <t xml:space="preserve">Pedestrian-Friendly Market Area (%)</t>
  </si>
  <si>
    <t xml:space="preserve">24%</t>
  </si>
  <si>
    <t xml:space="preserve">Markets Meeting Cleanliness Standards (%)</t>
  </si>
  <si>
    <t xml:space="preserve">Visual/Aesthetic Rating of Building Façades</t>
  </si>
  <si>
    <t xml:space="preserve">Goods/Services Category Coverage Scale</t>
  </si>
  <si>
    <t xml:space="preserve">Full</t>
  </si>
  <si>
    <t xml:space="preserve">Avg Rent vs Income Levels Index</t>
  </si>
  <si>
    <t xml:space="preserve">Population Density (Census 2011, Pop / sq.km)</t>
  </si>
  <si>
    <t xml:space="preserve">11,910</t>
  </si>
  <si>
    <t xml:space="preserve">Recomputed: Recomputed on one basis: Census 2011 population 8,443,675 ÷ 709 km² (BBMP). Area approximate — confirm from the Census 2011 town directory.</t>
  </si>
  <si>
    <t xml:space="preserve">Eco-Friendly Infra</t>
  </si>
  <si>
    <t xml:space="preserve">EVs Share of Total Registered Vehicles (%)</t>
  </si>
  <si>
    <t xml:space="preserve">4.8%</t>
  </si>
  <si>
    <t xml:space="preserve">Bescom EV Dashboard / GRIHA Regional Logs (2025)</t>
  </si>
  <si>
    <t xml:space="preserve">Public Charging Stations Ratio (Stations/EVs)</t>
  </si>
  <si>
    <t xml:space="preserve">0.024</t>
  </si>
  <si>
    <t xml:space="preserve">Buildings Certified as Green (GRIHA/LEED %)</t>
  </si>
  <si>
    <t xml:space="preserve">6.2%</t>
  </si>
  <si>
    <t xml:space="preserve">Total Installed Renewable Energy Capacity (Solar)</t>
  </si>
  <si>
    <t xml:space="preserve">115 MW</t>
  </si>
  <si>
    <t xml:space="preserve">Roads with Sidewalks/ Cycle Tracks (%)</t>
  </si>
  <si>
    <t xml:space="preserve">Total Energy Consumption Per Capita Load Rating</t>
  </si>
  <si>
    <t xml:space="preserve">Total Carbon Emissions Per Capita Profile</t>
  </si>
  <si>
    <t xml:space="preserve">Renewable Energy Share of Total Consumption (%)</t>
  </si>
  <si>
    <t xml:space="preserve">5.4%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</si>
</sst>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D4E89"/>
      <name val="Arial"/>
      <family val="0"/>
      <charset val="1"/>
    </font>
    <font>
      <i val="true"/>
      <sz val="9"/>
      <color rgb="FF5B667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5"/>
      <color rgb="FF1D4E89"/>
      <name val="Arial"/>
      <family val="0"/>
      <charset val="1"/>
    </font>
    <font>
      <b val="true"/>
      <sz val="10"/>
      <color rgb="FF1D4E89"/>
      <name val="Arial"/>
      <family val="0"/>
      <charset val="1"/>
    </font>
    <font>
      <b val="true"/>
      <sz val="10"/>
      <color rgb="FFB7791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D4E89"/>
        <bgColor rgb="FF003366"/>
      </patternFill>
    </fill>
    <fill>
      <patternFill patternType="solid">
        <fgColor rgb="FFEEF2F7"/>
        <bgColor rgb="FFE6EEF8"/>
      </patternFill>
    </fill>
    <fill>
      <patternFill patternType="solid">
        <fgColor rgb="FFE6EEF8"/>
        <bgColor rgb="FFEEF2F7"/>
      </patternFill>
    </fill>
    <fill>
      <patternFill patternType="solid">
        <fgColor rgb="FFB7DFC4"/>
        <bgColor rgb="FFD0D7E2"/>
      </patternFill>
    </fill>
    <fill>
      <patternFill patternType="solid">
        <fgColor rgb="FFF6CFCC"/>
        <bgColor rgb="FFFBE0C6"/>
      </patternFill>
    </fill>
    <fill>
      <patternFill patternType="solid">
        <fgColor rgb="FFFCF1C9"/>
        <bgColor rgb="FFFBE0C6"/>
      </patternFill>
    </fill>
    <fill>
      <patternFill patternType="solid">
        <fgColor rgb="FFFBE0C6"/>
        <bgColor rgb="FFFCF1C9"/>
      </patternFill>
    </fill>
    <fill>
      <patternFill patternType="solid">
        <fgColor rgb="FFD2ECD9"/>
        <bgColor rgb="FFE7F3DC"/>
      </patternFill>
    </fill>
    <fill>
      <patternFill patternType="solid">
        <fgColor rgb="FFE7F3DC"/>
        <bgColor rgb="FFEEF2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D2ECD9"/>
        </patternFill>
      </fill>
    </dxf>
    <dxf>
      <fill>
        <patternFill>
          <bgColor rgb="FFF6CFCC"/>
        </patternFill>
      </fill>
    </dxf>
    <dxf>
      <fill>
        <patternFill patternType="solid">
          <fgColor rgb="FF1D4E89"/>
          <bgColor rgb="FF000000"/>
        </patternFill>
      </fill>
    </dxf>
    <dxf>
      <fill>
        <patternFill patternType="solid">
          <fgColor rgb="FFE6EE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7DFC4"/>
          <bgColor rgb="FF000000"/>
        </patternFill>
      </fill>
    </dxf>
    <dxf>
      <fill>
        <patternFill patternType="solid">
          <fgColor rgb="FFD2ECD9"/>
          <bgColor rgb="FF000000"/>
        </patternFill>
      </fill>
    </dxf>
    <dxf>
      <fill>
        <patternFill patternType="solid">
          <fgColor rgb="FFE7F3DC"/>
          <bgColor rgb="FF000000"/>
        </patternFill>
      </fill>
    </dxf>
    <dxf>
      <fill>
        <patternFill patternType="solid">
          <fgColor rgb="FFF6CFCC"/>
          <bgColor rgb="FF000000"/>
        </patternFill>
      </fill>
    </dxf>
    <dxf>
      <fill>
        <patternFill patternType="solid">
          <fgColor rgb="FFFBE0C6"/>
          <bgColor rgb="FF000000"/>
        </patternFill>
      </fill>
    </dxf>
    <dxf>
      <fill>
        <patternFill patternType="solid">
          <fgColor rgb="FFFCF1C9"/>
          <bgColor rgb="FF000000"/>
        </patternFill>
      </fill>
    </dxf>
    <dxf>
      <fill>
        <patternFill patternType="solid">
          <fgColor rgb="FFB779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B7DFC4"/>
      <rgbColor rgb="FF808080"/>
      <rgbColor rgb="FF9999FF"/>
      <rgbColor rgb="FF993366"/>
      <rgbColor rgb="FFFCF1C9"/>
      <rgbColor rgb="FFE6EEF8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3DC"/>
      <rgbColor rgb="FFD2ECD9"/>
      <rgbColor rgb="FFFBE0C6"/>
      <rgbColor rgb="FFEEF2F7"/>
      <rgbColor rgb="FFFF99CC"/>
      <rgbColor rgb="FFCC99FF"/>
      <rgbColor rgb="FFF6CFCC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333300"/>
      <rgbColor rgb="FF993300"/>
      <rgbColor rgb="FF993366"/>
      <rgbColor rgb="FF1D4E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C4" s="4" t="n">
        <f aca="false">D14</f>
        <v>60</v>
      </c>
    </row>
    <row r="5" customFormat="false" ht="15" hidden="false" customHeight="false" outlineLevel="0" collapsed="false">
      <c r="A5" s="3" t="s">
        <v>3</v>
      </c>
      <c r="C5" s="4" t="n">
        <v>3</v>
      </c>
      <c r="D5" s="2" t="s">
        <v>4</v>
      </c>
    </row>
    <row r="7" customFormat="false" ht="23.8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</row>
    <row r="8" customFormat="false" ht="15" hidden="false" customHeight="false" outlineLevel="0" collapsed="false">
      <c r="A8" s="6" t="s">
        <v>15</v>
      </c>
      <c r="B8" s="7" t="n">
        <f aca="false">COUNT('Economic Opportunities'!A5:A35)</f>
        <v>29</v>
      </c>
      <c r="C8" s="7" t="n">
        <f aca="false">COUNT('Economic Opportunities'!F5:F35)</f>
        <v>29</v>
      </c>
      <c r="D8" s="7" t="n">
        <f aca="false">IF(C8=0,"",ROUND((AVERAGE('Economic Opportunities'!F5:F35)-1)/5*100,0))</f>
        <v>78</v>
      </c>
      <c r="E8" s="7" t="n">
        <f aca="false">COUNTIF('Economic Opportunities'!E5:E35,"Exceptional")</f>
        <v>17</v>
      </c>
      <c r="F8" s="7" t="n">
        <f aca="false">COUNTIF('Economic Opportunities'!E5:E35,"High")</f>
        <v>5</v>
      </c>
      <c r="G8" s="7" t="n">
        <f aca="false">COUNTIF('Economic Opportunities'!E5:E35,"Moderate-High")</f>
        <v>1</v>
      </c>
      <c r="H8" s="7" t="n">
        <f aca="false">COUNTIF('Economic Opportunities'!E5:E35,"Moderate")</f>
        <v>2</v>
      </c>
      <c r="I8" s="7" t="n">
        <f aca="false">COUNTIF('Economic Opportunities'!E5:E35,"Low-Moderate")</f>
        <v>1</v>
      </c>
      <c r="J8" s="7" t="n">
        <f aca="false">COUNTIF('Economic Opportunities'!E5:E35,"Low")</f>
        <v>3</v>
      </c>
    </row>
    <row r="9" customFormat="false" ht="15" hidden="false" customHeight="false" outlineLevel="0" collapsed="false">
      <c r="A9" s="6" t="s">
        <v>16</v>
      </c>
      <c r="B9" s="7" t="n">
        <f aca="false">COUNT('Environment &amp; Resources'!A5:A55)</f>
        <v>40</v>
      </c>
      <c r="C9" s="7" t="n">
        <f aca="false">COUNT('Environment &amp; Resources'!F5:F55)</f>
        <v>40</v>
      </c>
      <c r="D9" s="7" t="n">
        <f aca="false">IF(C9=0,"",ROUND((AVERAGE('Environment &amp; Resources'!F5:F55)-1)/5*100,0))</f>
        <v>60</v>
      </c>
      <c r="E9" s="7" t="n">
        <f aca="false">COUNTIF('Environment &amp; Resources'!E5:E55,"Exceptional")</f>
        <v>9</v>
      </c>
      <c r="F9" s="7" t="n">
        <f aca="false">COUNTIF('Environment &amp; Resources'!E5:E55,"High")</f>
        <v>4</v>
      </c>
      <c r="G9" s="7" t="n">
        <f aca="false">COUNTIF('Environment &amp; Resources'!E5:E55,"Moderate-High")</f>
        <v>13</v>
      </c>
      <c r="H9" s="7" t="n">
        <f aca="false">COUNTIF('Environment &amp; Resources'!E5:E55,"Moderate")</f>
        <v>9</v>
      </c>
      <c r="I9" s="7" t="n">
        <f aca="false">COUNTIF('Environment &amp; Resources'!E5:E55,"Low-Moderate")</f>
        <v>2</v>
      </c>
      <c r="J9" s="7" t="n">
        <f aca="false">COUNTIF('Environment &amp; Resources'!E5:E55,"Low")</f>
        <v>3</v>
      </c>
    </row>
    <row r="10" customFormat="false" ht="15" hidden="false" customHeight="false" outlineLevel="0" collapsed="false">
      <c r="A10" s="6" t="s">
        <v>17</v>
      </c>
      <c r="B10" s="7" t="n">
        <f aca="false">COUNT('Governance &amp; Technology'!A5:A41)</f>
        <v>29</v>
      </c>
      <c r="C10" s="7" t="n">
        <f aca="false">COUNT('Governance &amp; Technology'!F5:F41)</f>
        <v>29</v>
      </c>
      <c r="D10" s="7" t="n">
        <f aca="false">IF(C10=0,"",ROUND((AVERAGE('Governance &amp; Technology'!F5:F41)-1)/5*100,0))</f>
        <v>57</v>
      </c>
      <c r="E10" s="7" t="n">
        <f aca="false">COUNTIF('Governance &amp; Technology'!E5:E41,"Exceptional")</f>
        <v>2</v>
      </c>
      <c r="F10" s="7" t="n">
        <f aca="false">COUNTIF('Governance &amp; Technology'!E5:E41,"High")</f>
        <v>4</v>
      </c>
      <c r="G10" s="7" t="n">
        <f aca="false">COUNTIF('Governance &amp; Technology'!E5:E41,"Moderate-High")</f>
        <v>12</v>
      </c>
      <c r="H10" s="7" t="n">
        <f aca="false">COUNTIF('Governance &amp; Technology'!E5:E41,"Moderate")</f>
        <v>10</v>
      </c>
      <c r="I10" s="7" t="n">
        <f aca="false">COUNTIF('Governance &amp; Technology'!E5:E41,"Low-Moderate")</f>
        <v>1</v>
      </c>
      <c r="J10" s="7" t="n">
        <f aca="false">COUNTIF('Governance &amp; Technology'!E5:E41,"Low")</f>
        <v>0</v>
      </c>
    </row>
    <row r="11" customFormat="false" ht="15" hidden="false" customHeight="false" outlineLevel="0" collapsed="false">
      <c r="A11" s="6" t="s">
        <v>18</v>
      </c>
      <c r="B11" s="7" t="n">
        <f aca="false">COUNT('Mobility &amp; Accessibility'!A5:A43)</f>
        <v>32</v>
      </c>
      <c r="C11" s="7" t="n">
        <f aca="false">COUNT('Mobility &amp; Accessibility'!F5:F43)</f>
        <v>30</v>
      </c>
      <c r="D11" s="7" t="n">
        <f aca="false">IF(C11=0,"",ROUND((AVERAGE('Mobility &amp; Accessibility'!F5:F43)-1)/5*100,0))</f>
        <v>46</v>
      </c>
      <c r="E11" s="7" t="n">
        <f aca="false">COUNTIF('Mobility &amp; Accessibility'!E5:E43,"Exceptional")</f>
        <v>1</v>
      </c>
      <c r="F11" s="7" t="n">
        <f aca="false">COUNTIF('Mobility &amp; Accessibility'!E5:E43,"High")</f>
        <v>8</v>
      </c>
      <c r="G11" s="7" t="n">
        <f aca="false">COUNTIF('Mobility &amp; Accessibility'!E5:E43,"Moderate-High")</f>
        <v>2</v>
      </c>
      <c r="H11" s="7" t="n">
        <f aca="false">COUNTIF('Mobility &amp; Accessibility'!E5:E43,"Moderate")</f>
        <v>11</v>
      </c>
      <c r="I11" s="7" t="n">
        <f aca="false">COUNTIF('Mobility &amp; Accessibility'!E5:E43,"Low-Moderate")</f>
        <v>4</v>
      </c>
      <c r="J11" s="7" t="n">
        <f aca="false">COUNTIF('Mobility &amp; Accessibility'!E5:E43,"Low")</f>
        <v>4</v>
      </c>
    </row>
    <row r="12" customFormat="false" ht="15" hidden="false" customHeight="false" outlineLevel="0" collapsed="false">
      <c r="A12" s="6" t="s">
        <v>19</v>
      </c>
      <c r="B12" s="7" t="n">
        <f aca="false">COUNT('Social Infrastructure'!A5:A50)</f>
        <v>35</v>
      </c>
      <c r="C12" s="7" t="n">
        <f aca="false">COUNT('Social Infrastructure'!F5:F50)</f>
        <v>30</v>
      </c>
      <c r="D12" s="7" t="n">
        <f aca="false">IF(C12=0,"",ROUND((AVERAGE('Social Infrastructure'!F5:F50)-1)/5*100,0))</f>
        <v>71</v>
      </c>
      <c r="E12" s="7" t="n">
        <f aca="false">COUNTIF('Social Infrastructure'!E5:E50,"Exceptional")</f>
        <v>1</v>
      </c>
      <c r="F12" s="7" t="n">
        <f aca="false">COUNTIF('Social Infrastructure'!E5:E50,"High")</f>
        <v>21</v>
      </c>
      <c r="G12" s="7" t="n">
        <f aca="false">COUNTIF('Social Infrastructure'!E5:E50,"Moderate-High")</f>
        <v>2</v>
      </c>
      <c r="H12" s="7" t="n">
        <f aca="false">COUNTIF('Social Infrastructure'!E5:E50,"Moderate")</f>
        <v>5</v>
      </c>
      <c r="I12" s="7" t="n">
        <f aca="false">COUNTIF('Social Infrastructure'!E5:E50,"Low-Moderate")</f>
        <v>1</v>
      </c>
      <c r="J12" s="7" t="n">
        <f aca="false">COUNTIF('Social Infrastructure'!E5:E50,"Low")</f>
        <v>0</v>
      </c>
    </row>
    <row r="13" customFormat="false" ht="15" hidden="false" customHeight="false" outlineLevel="0" collapsed="false">
      <c r="A13" s="6" t="s">
        <v>20</v>
      </c>
      <c r="B13" s="7" t="n">
        <f aca="false">COUNT('Urban Infrastructure'!A5:A46)</f>
        <v>37</v>
      </c>
      <c r="C13" s="7" t="n">
        <f aca="false">COUNT('Urban Infrastructure'!F5:F46)</f>
        <v>15</v>
      </c>
      <c r="D13" s="7" t="n">
        <f aca="false">IF(C13=0,"",ROUND((AVERAGE('Urban Infrastructure'!F5:F46)-1)/5*100,0))</f>
        <v>39</v>
      </c>
      <c r="E13" s="7" t="n">
        <f aca="false">COUNTIF('Urban Infrastructure'!E5:E46,"Exceptional")</f>
        <v>0</v>
      </c>
      <c r="F13" s="7" t="n">
        <f aca="false">COUNTIF('Urban Infrastructure'!E5:E46,"High")</f>
        <v>2</v>
      </c>
      <c r="G13" s="7" t="n">
        <f aca="false">COUNTIF('Urban Infrastructure'!E5:E46,"Moderate-High")</f>
        <v>2</v>
      </c>
      <c r="H13" s="7" t="n">
        <f aca="false">COUNTIF('Urban Infrastructure'!E5:E46,"Moderate")</f>
        <v>6</v>
      </c>
      <c r="I13" s="7" t="n">
        <f aca="false">COUNTIF('Urban Infrastructure'!E5:E46,"Low-Moderate")</f>
        <v>3</v>
      </c>
      <c r="J13" s="7" t="n">
        <f aca="false">COUNTIF('Urban Infrastructure'!E5:E46,"Low")</f>
        <v>2</v>
      </c>
    </row>
    <row r="14" customFormat="false" ht="15" hidden="false" customHeight="false" outlineLevel="0" collapsed="false">
      <c r="A14" s="8" t="s">
        <v>21</v>
      </c>
      <c r="B14" s="9" t="n">
        <f aca="false">SUM(B8:B13)</f>
        <v>202</v>
      </c>
      <c r="C14" s="9" t="n">
        <f aca="false">SUM(C8:C13)</f>
        <v>173</v>
      </c>
      <c r="D14" s="9" t="n">
        <f aca="false">ROUND(SUMPRODUCT(D8:D13,C8:C13)/SUM(C8:C13),0)</f>
        <v>60</v>
      </c>
      <c r="E14" s="9" t="n">
        <f aca="false">SUM(E8:E13)</f>
        <v>30</v>
      </c>
      <c r="F14" s="9" t="n">
        <f aca="false">SUM(F8:F13)</f>
        <v>44</v>
      </c>
      <c r="G14" s="9" t="n">
        <f aca="false">SUM(G8:G13)</f>
        <v>32</v>
      </c>
      <c r="H14" s="9" t="n">
        <f aca="false">SUM(H8:H13)</f>
        <v>43</v>
      </c>
      <c r="I14" s="9" t="n">
        <f aca="false">SUM(I8:I13)</f>
        <v>12</v>
      </c>
      <c r="J14" s="9" t="n">
        <f aca="false">SUM(J8:J13)</f>
        <v>12</v>
      </c>
    </row>
    <row r="16" customFormat="false" ht="15" hidden="false" customHeight="false" outlineLevel="0" collapsed="false">
      <c r="A16" s="2" t="s">
        <v>22</v>
      </c>
    </row>
    <row r="17" customFormat="false" ht="15" hidden="false" customHeight="false" outlineLevel="0" collapsed="false">
      <c r="A17" s="2" t="s">
        <v>23</v>
      </c>
    </row>
  </sheetData>
  <conditionalFormatting sqref="D8:D13">
    <cfRule type="cellIs" priority="2" operator="greaterThanOrEqual" aboveAverage="0" equalAverage="0" bottom="0" percent="0" rank="0" text="" dxfId="0">
      <formula>70</formula>
    </cfRule>
    <cfRule type="cellIs" priority="3" operator="lessThan" aboveAverage="0" equalAverage="0" bottom="0" percent="0" rank="0" text="" dxfId="1">
      <formula>40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35</v>
      </c>
      <c r="B5" s="11"/>
      <c r="C5" s="11"/>
      <c r="D5" s="11"/>
      <c r="E5" s="11"/>
      <c r="F5" s="11"/>
      <c r="G5" s="11"/>
      <c r="H5" s="11"/>
      <c r="I5" s="11"/>
    </row>
    <row r="6" customFormat="false" ht="23.85" hidden="false" customHeight="false" outlineLevel="0" collapsed="false">
      <c r="A6" s="7" t="n">
        <v>1</v>
      </c>
      <c r="B6" s="6" t="s">
        <v>35</v>
      </c>
      <c r="C6" s="6" t="s">
        <v>36</v>
      </c>
      <c r="D6" s="6" t="s">
        <v>37</v>
      </c>
      <c r="E6" s="12" t="s">
        <v>9</v>
      </c>
      <c r="F6" s="7" t="n">
        <f aca="false">IFERROR(MATCH(E6,{"Low","Low-Moderate","Moderate","Moderate-High","High","Exceptional"},0),"")</f>
        <v>6</v>
      </c>
      <c r="G6" s="6" t="s">
        <v>38</v>
      </c>
      <c r="H6" s="6" t="s">
        <v>39</v>
      </c>
      <c r="I6" s="6"/>
    </row>
    <row r="7" customFormat="false" ht="23.85" hidden="false" customHeight="false" outlineLevel="0" collapsed="false">
      <c r="A7" s="7" t="n">
        <v>2</v>
      </c>
      <c r="B7" s="6" t="s">
        <v>35</v>
      </c>
      <c r="C7" s="6" t="s">
        <v>40</v>
      </c>
      <c r="D7" s="6" t="s">
        <v>41</v>
      </c>
      <c r="E7" s="12" t="s">
        <v>9</v>
      </c>
      <c r="F7" s="7" t="n">
        <f aca="false">IFERROR(MATCH(E7,{"Low","Low-Moderate","Moderate","Moderate-High","High","Exceptional"},0),"")</f>
        <v>6</v>
      </c>
      <c r="G7" s="6" t="s">
        <v>38</v>
      </c>
      <c r="H7" s="6" t="s">
        <v>42</v>
      </c>
      <c r="I7" s="6"/>
    </row>
    <row r="8" customFormat="false" ht="23.85" hidden="false" customHeight="false" outlineLevel="0" collapsed="false">
      <c r="A8" s="7" t="n">
        <v>3</v>
      </c>
      <c r="B8" s="6" t="s">
        <v>35</v>
      </c>
      <c r="C8" s="6" t="s">
        <v>43</v>
      </c>
      <c r="D8" s="6" t="s">
        <v>44</v>
      </c>
      <c r="E8" s="12" t="s">
        <v>9</v>
      </c>
      <c r="F8" s="7" t="n">
        <f aca="false">IFERROR(MATCH(E8,{"Low","Low-Moderate","Moderate","Moderate-High","High","Exceptional"},0),"")</f>
        <v>6</v>
      </c>
      <c r="G8" s="6" t="s">
        <v>38</v>
      </c>
      <c r="H8" s="6" t="s">
        <v>45</v>
      </c>
      <c r="I8" s="6"/>
    </row>
    <row r="9" customFormat="false" ht="23.85" hidden="false" customHeight="false" outlineLevel="0" collapsed="false">
      <c r="A9" s="7" t="n">
        <v>4</v>
      </c>
      <c r="B9" s="6" t="s">
        <v>35</v>
      </c>
      <c r="C9" s="6" t="s">
        <v>46</v>
      </c>
      <c r="D9" s="6" t="s">
        <v>47</v>
      </c>
      <c r="E9" s="12" t="s">
        <v>9</v>
      </c>
      <c r="F9" s="7" t="n">
        <f aca="false">IFERROR(MATCH(E9,{"Low","Low-Moderate","Moderate","Moderate-High","High","Exceptional"},0),"")</f>
        <v>6</v>
      </c>
      <c r="G9" s="6" t="s">
        <v>38</v>
      </c>
      <c r="H9" s="6" t="s">
        <v>48</v>
      </c>
      <c r="I9" s="6"/>
    </row>
    <row r="10" customFormat="false" ht="23.85" hidden="false" customHeight="false" outlineLevel="0" collapsed="false">
      <c r="A10" s="7" t="n">
        <v>5</v>
      </c>
      <c r="B10" s="6" t="s">
        <v>35</v>
      </c>
      <c r="C10" s="6" t="s">
        <v>49</v>
      </c>
      <c r="D10" s="6" t="s">
        <v>50</v>
      </c>
      <c r="E10" s="12" t="s">
        <v>9</v>
      </c>
      <c r="F10" s="7" t="n">
        <f aca="false">IFERROR(MATCH(E10,{"Low","Low-Moderate","Moderate","Moderate-High","High","Exceptional"},0),"")</f>
        <v>6</v>
      </c>
      <c r="G10" s="6" t="s">
        <v>38</v>
      </c>
      <c r="H10" s="6" t="s">
        <v>51</v>
      </c>
      <c r="I10" s="6"/>
    </row>
    <row r="11" customFormat="false" ht="23.85" hidden="false" customHeight="false" outlineLevel="0" collapsed="false">
      <c r="A11" s="7" t="n">
        <v>6</v>
      </c>
      <c r="B11" s="6" t="s">
        <v>35</v>
      </c>
      <c r="C11" s="6" t="s">
        <v>52</v>
      </c>
      <c r="D11" s="6" t="s">
        <v>53</v>
      </c>
      <c r="E11" s="12" t="s">
        <v>9</v>
      </c>
      <c r="F11" s="7" t="n">
        <f aca="false">IFERROR(MATCH(E11,{"Low","Low-Moderate","Moderate","Moderate-High","High","Exceptional"},0),"")</f>
        <v>6</v>
      </c>
      <c r="G11" s="6" t="s">
        <v>38</v>
      </c>
      <c r="H11" s="6" t="s">
        <v>54</v>
      </c>
      <c r="I11" s="6"/>
    </row>
    <row r="12" customFormat="false" ht="23.85" hidden="false" customHeight="false" outlineLevel="0" collapsed="false">
      <c r="A12" s="7" t="n">
        <v>7</v>
      </c>
      <c r="B12" s="6" t="s">
        <v>35</v>
      </c>
      <c r="C12" s="6" t="s">
        <v>55</v>
      </c>
      <c r="D12" s="6" t="s">
        <v>56</v>
      </c>
      <c r="E12" s="12" t="s">
        <v>9</v>
      </c>
      <c r="F12" s="7" t="n">
        <f aca="false">IFERROR(MATCH(E12,{"Low","Low-Moderate","Moderate","Moderate-High","High","Exceptional"},0),"")</f>
        <v>6</v>
      </c>
      <c r="G12" s="6" t="s">
        <v>38</v>
      </c>
      <c r="H12" s="6" t="s">
        <v>57</v>
      </c>
      <c r="I12" s="6"/>
    </row>
    <row r="13" customFormat="false" ht="23.85" hidden="false" customHeight="false" outlineLevel="0" collapsed="false">
      <c r="A13" s="7" t="n">
        <v>8</v>
      </c>
      <c r="B13" s="6" t="s">
        <v>35</v>
      </c>
      <c r="C13" s="6" t="s">
        <v>58</v>
      </c>
      <c r="D13" s="6" t="s">
        <v>59</v>
      </c>
      <c r="E13" s="13" t="s">
        <v>14</v>
      </c>
      <c r="F13" s="7" t="n">
        <f aca="false">IFERROR(MATCH(E13,{"Low","Low-Moderate","Moderate","Moderate-High","High","Exceptional"},0),"")</f>
        <v>1</v>
      </c>
      <c r="G13" s="6" t="s">
        <v>38</v>
      </c>
      <c r="H13" s="6" t="s">
        <v>60</v>
      </c>
      <c r="I13" s="6"/>
    </row>
    <row r="14" customFormat="false" ht="23.85" hidden="false" customHeight="false" outlineLevel="0" collapsed="false">
      <c r="A14" s="7" t="n">
        <v>9</v>
      </c>
      <c r="B14" s="6" t="s">
        <v>35</v>
      </c>
      <c r="C14" s="6" t="s">
        <v>61</v>
      </c>
      <c r="D14" s="6" t="s">
        <v>62</v>
      </c>
      <c r="E14" s="12" t="s">
        <v>9</v>
      </c>
      <c r="F14" s="7" t="n">
        <f aca="false">IFERROR(MATCH(E14,{"Low","Low-Moderate","Moderate","Moderate-High","High","Exceptional"},0),"")</f>
        <v>6</v>
      </c>
      <c r="G14" s="6" t="s">
        <v>38</v>
      </c>
      <c r="H14" s="6" t="s">
        <v>63</v>
      </c>
      <c r="I14" s="6"/>
    </row>
    <row r="15" customFormat="false" ht="23.85" hidden="false" customHeight="false" outlineLevel="0" collapsed="false">
      <c r="A15" s="7" t="n">
        <v>10</v>
      </c>
      <c r="B15" s="6" t="s">
        <v>35</v>
      </c>
      <c r="C15" s="6" t="s">
        <v>64</v>
      </c>
      <c r="D15" s="6" t="s">
        <v>65</v>
      </c>
      <c r="E15" s="12" t="s">
        <v>9</v>
      </c>
      <c r="F15" s="7" t="n">
        <f aca="false">IFERROR(MATCH(E15,{"Low","Low-Moderate","Moderate","Moderate-High","High","Exceptional"},0),"")</f>
        <v>6</v>
      </c>
      <c r="G15" s="6" t="s">
        <v>66</v>
      </c>
      <c r="H15" s="6" t="s">
        <v>67</v>
      </c>
      <c r="I15" s="6"/>
    </row>
    <row r="16" customFormat="false" ht="57.45" hidden="false" customHeight="false" outlineLevel="0" collapsed="false">
      <c r="A16" s="7" t="n">
        <v>11</v>
      </c>
      <c r="B16" s="6" t="s">
        <v>35</v>
      </c>
      <c r="C16" s="6" t="s">
        <v>68</v>
      </c>
      <c r="D16" s="14" t="s">
        <v>69</v>
      </c>
      <c r="E16" s="12" t="s">
        <v>9</v>
      </c>
      <c r="F16" s="7" t="n">
        <f aca="false">IFERROR(MATCH(E16,{"Low","Low-Moderate","Moderate","Moderate-High","High","Exceptional"},0),"")</f>
        <v>6</v>
      </c>
      <c r="G16" s="6" t="s">
        <v>70</v>
      </c>
      <c r="H16" s="6" t="s">
        <v>71</v>
      </c>
      <c r="I16" s="6" t="s">
        <v>72</v>
      </c>
    </row>
    <row r="17" customFormat="false" ht="23.85" hidden="false" customHeight="false" outlineLevel="0" collapsed="false">
      <c r="A17" s="7" t="n">
        <v>12</v>
      </c>
      <c r="B17" s="6" t="s">
        <v>35</v>
      </c>
      <c r="C17" s="6" t="s">
        <v>73</v>
      </c>
      <c r="D17" s="6" t="s">
        <v>53</v>
      </c>
      <c r="E17" s="12" t="s">
        <v>9</v>
      </c>
      <c r="F17" s="7" t="n">
        <f aca="false">IFERROR(MATCH(E17,{"Low","Low-Moderate","Moderate","Moderate-High","High","Exceptional"},0),"")</f>
        <v>6</v>
      </c>
      <c r="G17" s="6" t="s">
        <v>70</v>
      </c>
      <c r="H17" s="6" t="s">
        <v>74</v>
      </c>
      <c r="I17" s="6"/>
    </row>
    <row r="18" customFormat="false" ht="23.85" hidden="false" customHeight="false" outlineLevel="0" collapsed="false">
      <c r="A18" s="7" t="n">
        <v>13</v>
      </c>
      <c r="B18" s="6" t="s">
        <v>35</v>
      </c>
      <c r="C18" s="6" t="s">
        <v>75</v>
      </c>
      <c r="D18" s="6" t="s">
        <v>76</v>
      </c>
      <c r="E18" s="13" t="s">
        <v>14</v>
      </c>
      <c r="F18" s="7" t="n">
        <f aca="false">IFERROR(MATCH(E18,{"Low","Low-Moderate","Moderate","Moderate-High","High","Exceptional"},0),"")</f>
        <v>1</v>
      </c>
      <c r="G18" s="6" t="s">
        <v>38</v>
      </c>
      <c r="H18" s="6" t="s">
        <v>77</v>
      </c>
      <c r="I18" s="6"/>
    </row>
    <row r="19" customFormat="false" ht="35.05" hidden="false" customHeight="false" outlineLevel="0" collapsed="false">
      <c r="A19" s="7" t="n">
        <v>14</v>
      </c>
      <c r="B19" s="6" t="s">
        <v>35</v>
      </c>
      <c r="C19" s="6" t="s">
        <v>78</v>
      </c>
      <c r="D19" s="6" t="s">
        <v>79</v>
      </c>
      <c r="E19" s="12" t="s">
        <v>9</v>
      </c>
      <c r="F19" s="7" t="n">
        <f aca="false">IFERROR(MATCH(E19,{"Low","Low-Moderate","Moderate","Moderate-High","High","Exceptional"},0),"")</f>
        <v>6</v>
      </c>
      <c r="G19" s="6" t="s">
        <v>80</v>
      </c>
      <c r="H19" s="6" t="s">
        <v>81</v>
      </c>
      <c r="I19" s="6"/>
    </row>
    <row r="20" customFormat="false" ht="23.85" hidden="false" customHeight="false" outlineLevel="0" collapsed="false">
      <c r="A20" s="7" t="n">
        <v>15</v>
      </c>
      <c r="B20" s="6" t="s">
        <v>35</v>
      </c>
      <c r="C20" s="6" t="s">
        <v>82</v>
      </c>
      <c r="D20" s="6" t="s">
        <v>83</v>
      </c>
      <c r="E20" s="15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84</v>
      </c>
      <c r="I20" s="6"/>
    </row>
    <row r="21" customFormat="false" ht="35.05" hidden="false" customHeight="false" outlineLevel="0" collapsed="false">
      <c r="A21" s="7" t="n">
        <v>16</v>
      </c>
      <c r="B21" s="6" t="s">
        <v>35</v>
      </c>
      <c r="C21" s="6" t="s">
        <v>85</v>
      </c>
      <c r="D21" s="6" t="s">
        <v>86</v>
      </c>
      <c r="E21" s="16" t="s">
        <v>13</v>
      </c>
      <c r="F21" s="7" t="n">
        <f aca="false">IFERROR(MATCH(E21,{"Low","Low-Moderate","Moderate","Moderate-High","High","Exceptional"},0),"")</f>
        <v>2</v>
      </c>
      <c r="G21" s="6" t="s">
        <v>66</v>
      </c>
      <c r="H21" s="6" t="s">
        <v>87</v>
      </c>
      <c r="I21" s="6"/>
    </row>
    <row r="22" customFormat="false" ht="35.05" hidden="false" customHeight="false" outlineLevel="0" collapsed="false">
      <c r="A22" s="7" t="n">
        <v>17</v>
      </c>
      <c r="B22" s="6" t="s">
        <v>35</v>
      </c>
      <c r="C22" s="6" t="s">
        <v>88</v>
      </c>
      <c r="D22" s="6" t="s">
        <v>89</v>
      </c>
      <c r="E22" s="15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90</v>
      </c>
      <c r="I22" s="6"/>
    </row>
    <row r="23" customFormat="false" ht="23.85" hidden="false" customHeight="false" outlineLevel="0" collapsed="false">
      <c r="A23" s="7" t="n">
        <v>18</v>
      </c>
      <c r="B23" s="6" t="s">
        <v>35</v>
      </c>
      <c r="C23" s="6" t="s">
        <v>91</v>
      </c>
      <c r="D23" s="6" t="s">
        <v>92</v>
      </c>
      <c r="E23" s="12" t="s">
        <v>9</v>
      </c>
      <c r="F23" s="7" t="n">
        <f aca="false">IFERROR(MATCH(E23,{"Low","Low-Moderate","Moderate","Moderate-High","High","Exceptional"},0),"")</f>
        <v>6</v>
      </c>
      <c r="G23" s="6" t="s">
        <v>38</v>
      </c>
      <c r="H23" s="6" t="s">
        <v>93</v>
      </c>
      <c r="I23" s="6"/>
    </row>
    <row r="24" customFormat="false" ht="23.85" hidden="false" customHeight="false" outlineLevel="0" collapsed="false">
      <c r="A24" s="7" t="n">
        <v>19</v>
      </c>
      <c r="B24" s="6" t="s">
        <v>35</v>
      </c>
      <c r="C24" s="6" t="s">
        <v>94</v>
      </c>
      <c r="D24" s="6" t="s">
        <v>10</v>
      </c>
      <c r="E24" s="17" t="s">
        <v>10</v>
      </c>
      <c r="F24" s="7" t="n">
        <f aca="false">IFERROR(MATCH(E24,{"Low","Low-Moderate","Moderate","Moderate-High","High","Exceptional"},0),"")</f>
        <v>5</v>
      </c>
      <c r="G24" s="6" t="s">
        <v>66</v>
      </c>
      <c r="H24" s="6" t="s">
        <v>95</v>
      </c>
      <c r="I24" s="6"/>
    </row>
    <row r="25" customFormat="false" ht="15" hidden="false" customHeight="false" outlineLevel="0" collapsed="false">
      <c r="A25" s="11" t="s">
        <v>96</v>
      </c>
      <c r="B25" s="11"/>
      <c r="C25" s="11"/>
      <c r="D25" s="11"/>
      <c r="E25" s="11"/>
      <c r="F25" s="11"/>
      <c r="G25" s="11"/>
      <c r="H25" s="11"/>
      <c r="I25" s="11"/>
    </row>
    <row r="26" customFormat="false" ht="23.85" hidden="false" customHeight="false" outlineLevel="0" collapsed="false">
      <c r="A26" s="7" t="n">
        <v>20</v>
      </c>
      <c r="B26" s="6" t="s">
        <v>96</v>
      </c>
      <c r="C26" s="6" t="s">
        <v>97</v>
      </c>
      <c r="D26" s="6" t="s">
        <v>98</v>
      </c>
      <c r="E26" s="17" t="s">
        <v>10</v>
      </c>
      <c r="F26" s="7" t="n">
        <f aca="false">IFERROR(MATCH(E26,{"Low","Low-Moderate","Moderate","Moderate-High","High","Exceptional"},0),"")</f>
        <v>5</v>
      </c>
      <c r="G26" s="6" t="s">
        <v>38</v>
      </c>
      <c r="H26" s="6" t="s">
        <v>99</v>
      </c>
      <c r="I26" s="6"/>
    </row>
    <row r="27" customFormat="false" ht="23.85" hidden="false" customHeight="false" outlineLevel="0" collapsed="false">
      <c r="A27" s="7" t="n">
        <v>21</v>
      </c>
      <c r="B27" s="6" t="s">
        <v>96</v>
      </c>
      <c r="C27" s="6" t="s">
        <v>100</v>
      </c>
      <c r="D27" s="6" t="s">
        <v>101</v>
      </c>
      <c r="E27" s="12" t="s">
        <v>9</v>
      </c>
      <c r="F27" s="7" t="n">
        <f aca="false">IFERROR(MATCH(E27,{"Low","Low-Moderate","Moderate","Moderate-High","High","Exceptional"},0),"")</f>
        <v>6</v>
      </c>
      <c r="G27" s="6" t="s">
        <v>38</v>
      </c>
      <c r="H27" s="6" t="s">
        <v>102</v>
      </c>
      <c r="I27" s="6"/>
    </row>
    <row r="28" customFormat="false" ht="23.85" hidden="false" customHeight="false" outlineLevel="0" collapsed="false">
      <c r="A28" s="7" t="n">
        <v>22</v>
      </c>
      <c r="B28" s="6" t="s">
        <v>96</v>
      </c>
      <c r="C28" s="6" t="s">
        <v>103</v>
      </c>
      <c r="D28" s="6" t="s">
        <v>104</v>
      </c>
      <c r="E28" s="17" t="s">
        <v>10</v>
      </c>
      <c r="F28" s="7" t="n">
        <f aca="false">IFERROR(MATCH(E28,{"Low","Low-Moderate","Moderate","Moderate-High","High","Exceptional"},0),"")</f>
        <v>5</v>
      </c>
      <c r="G28" s="6" t="s">
        <v>38</v>
      </c>
      <c r="H28" s="6" t="s">
        <v>105</v>
      </c>
      <c r="I28" s="6"/>
    </row>
    <row r="29" customFormat="false" ht="23.85" hidden="false" customHeight="false" outlineLevel="0" collapsed="false">
      <c r="A29" s="7" t="n">
        <v>23</v>
      </c>
      <c r="B29" s="6" t="s">
        <v>96</v>
      </c>
      <c r="C29" s="6" t="s">
        <v>106</v>
      </c>
      <c r="D29" s="6" t="s">
        <v>107</v>
      </c>
      <c r="E29" s="18" t="s">
        <v>11</v>
      </c>
      <c r="F29" s="7" t="n">
        <f aca="false">IFERROR(MATCH(E29,{"Low","Low-Moderate","Moderate","Moderate-High","High","Exceptional"},0),"")</f>
        <v>4</v>
      </c>
      <c r="G29" s="6" t="s">
        <v>38</v>
      </c>
      <c r="H29" s="6" t="s">
        <v>108</v>
      </c>
      <c r="I29" s="6"/>
    </row>
    <row r="30" customFormat="false" ht="23.85" hidden="false" customHeight="false" outlineLevel="0" collapsed="false">
      <c r="A30" s="7" t="n">
        <v>24</v>
      </c>
      <c r="B30" s="6" t="s">
        <v>96</v>
      </c>
      <c r="C30" s="6" t="s">
        <v>109</v>
      </c>
      <c r="D30" s="6" t="s">
        <v>110</v>
      </c>
      <c r="E30" s="12" t="s">
        <v>9</v>
      </c>
      <c r="F30" s="7" t="n">
        <f aca="false">IFERROR(MATCH(E30,{"Low","Low-Moderate","Moderate","Moderate-High","High","Exceptional"},0),"")</f>
        <v>6</v>
      </c>
      <c r="G30" s="6" t="s">
        <v>38</v>
      </c>
      <c r="H30" s="6" t="s">
        <v>111</v>
      </c>
      <c r="I30" s="6"/>
    </row>
    <row r="31" customFormat="false" ht="23.85" hidden="false" customHeight="false" outlineLevel="0" collapsed="false">
      <c r="A31" s="7" t="n">
        <v>25</v>
      </c>
      <c r="B31" s="6" t="s">
        <v>96</v>
      </c>
      <c r="C31" s="6" t="s">
        <v>112</v>
      </c>
      <c r="D31" s="6" t="s">
        <v>113</v>
      </c>
      <c r="E31" s="12" t="s">
        <v>9</v>
      </c>
      <c r="F31" s="7" t="n">
        <f aca="false">IFERROR(MATCH(E31,{"Low","Low-Moderate","Moderate","Moderate-High","High","Exceptional"},0),"")</f>
        <v>6</v>
      </c>
      <c r="G31" s="6" t="s">
        <v>38</v>
      </c>
      <c r="H31" s="6" t="s">
        <v>114</v>
      </c>
      <c r="I31" s="6"/>
    </row>
    <row r="32" customFormat="false" ht="46.25" hidden="false" customHeight="false" outlineLevel="0" collapsed="false">
      <c r="A32" s="7" t="n">
        <v>26</v>
      </c>
      <c r="B32" s="6" t="s">
        <v>96</v>
      </c>
      <c r="C32" s="6" t="s">
        <v>115</v>
      </c>
      <c r="D32" s="14" t="s">
        <v>116</v>
      </c>
      <c r="E32" s="17" t="s">
        <v>10</v>
      </c>
      <c r="F32" s="7" t="n">
        <f aca="false">IFERROR(MATCH(E32,{"Low","Low-Moderate","Moderate","Moderate-High","High","Exceptional"},0),"")</f>
        <v>5</v>
      </c>
      <c r="G32" s="6" t="s">
        <v>70</v>
      </c>
      <c r="H32" s="6" t="s">
        <v>117</v>
      </c>
      <c r="I32" s="6" t="s">
        <v>118</v>
      </c>
    </row>
    <row r="33" customFormat="false" ht="23.85" hidden="false" customHeight="false" outlineLevel="0" collapsed="false">
      <c r="A33" s="7" t="n">
        <v>27</v>
      </c>
      <c r="B33" s="6" t="s">
        <v>96</v>
      </c>
      <c r="C33" s="6" t="s">
        <v>119</v>
      </c>
      <c r="D33" s="6" t="s">
        <v>120</v>
      </c>
      <c r="E33" s="17" t="s">
        <v>10</v>
      </c>
      <c r="F33" s="7" t="n">
        <f aca="false">IFERROR(MATCH(E33,{"Low","Low-Moderate","Moderate","Moderate-High","High","Exceptional"},0),"")</f>
        <v>5</v>
      </c>
      <c r="G33" s="6" t="s">
        <v>66</v>
      </c>
      <c r="H33" s="6" t="s">
        <v>121</v>
      </c>
      <c r="I33" s="6"/>
    </row>
    <row r="34" customFormat="false" ht="35.05" hidden="false" customHeight="false" outlineLevel="0" collapsed="false">
      <c r="A34" s="7" t="n">
        <v>28</v>
      </c>
      <c r="B34" s="6" t="s">
        <v>96</v>
      </c>
      <c r="C34" s="6" t="s">
        <v>122</v>
      </c>
      <c r="D34" s="14" t="s">
        <v>50</v>
      </c>
      <c r="E34" s="12" t="s">
        <v>9</v>
      </c>
      <c r="F34" s="7" t="n">
        <f aca="false">IFERROR(MATCH(E34,{"Low","Low-Moderate","Moderate","Moderate-High","High","Exceptional"},0),"")</f>
        <v>6</v>
      </c>
      <c r="G34" s="6" t="s">
        <v>38</v>
      </c>
      <c r="H34" s="6" t="s">
        <v>123</v>
      </c>
      <c r="I34" s="6" t="s">
        <v>124</v>
      </c>
    </row>
    <row r="35" customFormat="false" ht="35.05" hidden="false" customHeight="false" outlineLevel="0" collapsed="false">
      <c r="A35" s="7" t="n">
        <v>29</v>
      </c>
      <c r="B35" s="6" t="s">
        <v>96</v>
      </c>
      <c r="C35" s="6" t="s">
        <v>58</v>
      </c>
      <c r="D35" s="14" t="s">
        <v>59</v>
      </c>
      <c r="E35" s="13" t="s">
        <v>14</v>
      </c>
      <c r="F35" s="7" t="n">
        <f aca="false">IFERROR(MATCH(E35,{"Low","Low-Moderate","Moderate","Moderate-High","High","Exceptional"},0),"")</f>
        <v>1</v>
      </c>
      <c r="G35" s="6" t="s">
        <v>38</v>
      </c>
      <c r="H35" s="6" t="s">
        <v>125</v>
      </c>
      <c r="I35" s="6" t="s">
        <v>126</v>
      </c>
    </row>
    <row r="37" customFormat="false" ht="15" hidden="false" customHeight="false" outlineLevel="0" collapsed="false">
      <c r="A37" s="2" t="s">
        <v>127</v>
      </c>
    </row>
  </sheetData>
  <autoFilter ref="A4:I35"/>
  <mergeCells count="2">
    <mergeCell ref="A5:I5"/>
    <mergeCell ref="A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128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129</v>
      </c>
      <c r="B5" s="11"/>
      <c r="C5" s="11"/>
      <c r="D5" s="11"/>
      <c r="E5" s="11"/>
      <c r="F5" s="11"/>
      <c r="G5" s="11"/>
      <c r="H5" s="11"/>
      <c r="I5" s="11"/>
    </row>
    <row r="6" customFormat="false" ht="46.25" hidden="false" customHeight="false" outlineLevel="0" collapsed="false">
      <c r="A6" s="7" t="n">
        <v>1</v>
      </c>
      <c r="B6" s="6" t="s">
        <v>129</v>
      </c>
      <c r="C6" s="6" t="s">
        <v>130</v>
      </c>
      <c r="D6" s="6" t="s">
        <v>131</v>
      </c>
      <c r="E6" s="18" t="s">
        <v>11</v>
      </c>
      <c r="F6" s="7" t="n">
        <f aca="false">IFERROR(MATCH(E6,{"Low","Low-Moderate","Moderate","Moderate-High","High","Exceptional"},0),"")</f>
        <v>4</v>
      </c>
      <c r="G6" s="6" t="s">
        <v>70</v>
      </c>
      <c r="H6" s="6" t="s">
        <v>132</v>
      </c>
      <c r="I6" s="6"/>
    </row>
    <row r="7" customFormat="false" ht="23.85" hidden="false" customHeight="false" outlineLevel="0" collapsed="false">
      <c r="A7" s="7" t="n">
        <v>2</v>
      </c>
      <c r="B7" s="6" t="s">
        <v>129</v>
      </c>
      <c r="C7" s="6" t="s">
        <v>133</v>
      </c>
      <c r="D7" s="6" t="s">
        <v>134</v>
      </c>
      <c r="E7" s="15" t="s">
        <v>12</v>
      </c>
      <c r="F7" s="7" t="n">
        <f aca="false">IFERROR(MATCH(E7,{"Low","Low-Moderate","Moderate","Moderate-High","High","Exceptional"},0),"")</f>
        <v>3</v>
      </c>
      <c r="G7" s="6" t="s">
        <v>66</v>
      </c>
      <c r="H7" s="6" t="s">
        <v>135</v>
      </c>
      <c r="I7" s="6"/>
    </row>
    <row r="8" customFormat="false" ht="15" hidden="false" customHeight="false" outlineLevel="0" collapsed="false">
      <c r="A8" s="11" t="s">
        <v>136</v>
      </c>
      <c r="B8" s="11"/>
      <c r="C8" s="11"/>
      <c r="D8" s="11"/>
      <c r="E8" s="11"/>
      <c r="F8" s="11"/>
      <c r="G8" s="11"/>
      <c r="H8" s="11"/>
      <c r="I8" s="11"/>
    </row>
    <row r="9" customFormat="false" ht="23.85" hidden="false" customHeight="false" outlineLevel="0" collapsed="false">
      <c r="A9" s="7" t="n">
        <v>3</v>
      </c>
      <c r="B9" s="6" t="s">
        <v>136</v>
      </c>
      <c r="C9" s="6" t="s">
        <v>137</v>
      </c>
      <c r="D9" s="6" t="s">
        <v>138</v>
      </c>
      <c r="E9" s="12" t="s">
        <v>9</v>
      </c>
      <c r="F9" s="7" t="n">
        <f aca="false">IFERROR(MATCH(E9,{"Low","Low-Moderate","Moderate","Moderate-High","High","Exceptional"},0),"")</f>
        <v>6</v>
      </c>
      <c r="G9" s="6" t="s">
        <v>38</v>
      </c>
      <c r="H9" s="6" t="s">
        <v>139</v>
      </c>
      <c r="I9" s="6"/>
    </row>
    <row r="10" customFormat="false" ht="23.85" hidden="false" customHeight="false" outlineLevel="0" collapsed="false">
      <c r="A10" s="7" t="n">
        <v>4</v>
      </c>
      <c r="B10" s="6" t="s">
        <v>136</v>
      </c>
      <c r="C10" s="6" t="s">
        <v>140</v>
      </c>
      <c r="D10" s="6" t="s">
        <v>141</v>
      </c>
      <c r="E10" s="12" t="s">
        <v>9</v>
      </c>
      <c r="F10" s="7" t="n">
        <f aca="false">IFERROR(MATCH(E10,{"Low","Low-Moderate","Moderate","Moderate-High","High","Exceptional"},0),"")</f>
        <v>6</v>
      </c>
      <c r="G10" s="6" t="s">
        <v>38</v>
      </c>
      <c r="H10" s="6" t="s">
        <v>142</v>
      </c>
      <c r="I10" s="6"/>
    </row>
    <row r="11" customFormat="false" ht="23.85" hidden="false" customHeight="false" outlineLevel="0" collapsed="false">
      <c r="A11" s="7" t="n">
        <v>5</v>
      </c>
      <c r="B11" s="6" t="s">
        <v>136</v>
      </c>
      <c r="C11" s="6" t="s">
        <v>143</v>
      </c>
      <c r="D11" s="6" t="s">
        <v>144</v>
      </c>
      <c r="E11" s="12" t="s">
        <v>9</v>
      </c>
      <c r="F11" s="7" t="n">
        <f aca="false">IFERROR(MATCH(E11,{"Low","Low-Moderate","Moderate","Moderate-High","High","Exceptional"},0),"")</f>
        <v>6</v>
      </c>
      <c r="G11" s="6" t="s">
        <v>38</v>
      </c>
      <c r="H11" s="6" t="s">
        <v>145</v>
      </c>
      <c r="I11" s="6"/>
    </row>
    <row r="12" customFormat="false" ht="23.85" hidden="false" customHeight="false" outlineLevel="0" collapsed="false">
      <c r="A12" s="7" t="n">
        <v>6</v>
      </c>
      <c r="B12" s="6" t="s">
        <v>136</v>
      </c>
      <c r="C12" s="6" t="s">
        <v>146</v>
      </c>
      <c r="D12" s="6" t="s">
        <v>147</v>
      </c>
      <c r="E12" s="12" t="s">
        <v>9</v>
      </c>
      <c r="F12" s="7" t="n">
        <f aca="false">IFERROR(MATCH(E12,{"Low","Low-Moderate","Moderate","Moderate-High","High","Exceptional"},0),"")</f>
        <v>6</v>
      </c>
      <c r="G12" s="6" t="s">
        <v>38</v>
      </c>
      <c r="H12" s="6" t="s">
        <v>148</v>
      </c>
      <c r="I12" s="6"/>
    </row>
    <row r="13" customFormat="false" ht="23.85" hidden="false" customHeight="false" outlineLevel="0" collapsed="false">
      <c r="A13" s="7" t="n">
        <v>7</v>
      </c>
      <c r="B13" s="6" t="s">
        <v>136</v>
      </c>
      <c r="C13" s="6" t="s">
        <v>149</v>
      </c>
      <c r="D13" s="6" t="s">
        <v>59</v>
      </c>
      <c r="E13" s="12" t="s">
        <v>9</v>
      </c>
      <c r="F13" s="7" t="n">
        <f aca="false">IFERROR(MATCH(E13,{"Low","Low-Moderate","Moderate","Moderate-High","High","Exceptional"},0),"")</f>
        <v>6</v>
      </c>
      <c r="G13" s="6" t="s">
        <v>38</v>
      </c>
      <c r="H13" s="6" t="s">
        <v>150</v>
      </c>
      <c r="I13" s="6"/>
    </row>
    <row r="14" customFormat="false" ht="15" hidden="false" customHeight="false" outlineLevel="0" collapsed="false">
      <c r="A14" s="11" t="s">
        <v>151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151</v>
      </c>
      <c r="C15" s="6" t="s">
        <v>152</v>
      </c>
      <c r="D15" s="6" t="s">
        <v>153</v>
      </c>
      <c r="E15" s="18" t="s">
        <v>11</v>
      </c>
      <c r="F15" s="7" t="n">
        <f aca="false">IFERROR(MATCH(E15,{"Low","Low-Moderate","Moderate","Moderate-High","High","Exceptional"},0),"")</f>
        <v>4</v>
      </c>
      <c r="G15" s="6" t="s">
        <v>70</v>
      </c>
      <c r="H15" s="6" t="s">
        <v>154</v>
      </c>
      <c r="I15" s="6"/>
    </row>
    <row r="16" customFormat="false" ht="23.85" hidden="false" customHeight="false" outlineLevel="0" collapsed="false">
      <c r="A16" s="7" t="n">
        <v>9</v>
      </c>
      <c r="B16" s="6" t="s">
        <v>151</v>
      </c>
      <c r="C16" s="6" t="s">
        <v>155</v>
      </c>
      <c r="D16" s="6" t="s">
        <v>131</v>
      </c>
      <c r="E16" s="15" t="s">
        <v>12</v>
      </c>
      <c r="F16" s="7" t="n">
        <f aca="false">IFERROR(MATCH(E16,{"Low","Low-Moderate","Moderate","Moderate-High","High","Exceptional"},0),"")</f>
        <v>3</v>
      </c>
      <c r="G16" s="6" t="s">
        <v>70</v>
      </c>
      <c r="H16" s="6" t="s">
        <v>156</v>
      </c>
      <c r="I16" s="6"/>
    </row>
    <row r="17" customFormat="false" ht="23.85" hidden="false" customHeight="false" outlineLevel="0" collapsed="false">
      <c r="A17" s="7" t="n">
        <v>10</v>
      </c>
      <c r="B17" s="6" t="s">
        <v>151</v>
      </c>
      <c r="C17" s="6" t="s">
        <v>157</v>
      </c>
      <c r="D17" s="6" t="s">
        <v>158</v>
      </c>
      <c r="E17" s="17" t="s">
        <v>10</v>
      </c>
      <c r="F17" s="7" t="n">
        <f aca="false">IFERROR(MATCH(E17,{"Low","Low-Moderate","Moderate","Moderate-High","High","Exceptional"},0),"")</f>
        <v>5</v>
      </c>
      <c r="G17" s="6" t="s">
        <v>38</v>
      </c>
      <c r="H17" s="6" t="s">
        <v>159</v>
      </c>
      <c r="I17" s="6"/>
    </row>
    <row r="18" customFormat="false" ht="15" hidden="false" customHeight="false" outlineLevel="0" collapsed="false">
      <c r="A18" s="11" t="s">
        <v>160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11</v>
      </c>
      <c r="B19" s="6" t="s">
        <v>160</v>
      </c>
      <c r="C19" s="6" t="s">
        <v>161</v>
      </c>
      <c r="D19" s="6" t="s">
        <v>162</v>
      </c>
      <c r="E19" s="17" t="s">
        <v>10</v>
      </c>
      <c r="F19" s="7" t="n">
        <f aca="false">IFERROR(MATCH(E19,{"Low","Low-Moderate","Moderate","Moderate-High","High","Exceptional"},0),"")</f>
        <v>5</v>
      </c>
      <c r="G19" s="6" t="s">
        <v>66</v>
      </c>
      <c r="H19" s="6" t="s">
        <v>163</v>
      </c>
      <c r="I19" s="6"/>
    </row>
    <row r="20" customFormat="false" ht="23.85" hidden="false" customHeight="false" outlineLevel="0" collapsed="false">
      <c r="A20" s="7" t="n">
        <v>12</v>
      </c>
      <c r="B20" s="6" t="s">
        <v>160</v>
      </c>
      <c r="C20" s="6" t="s">
        <v>164</v>
      </c>
      <c r="D20" s="6" t="s">
        <v>165</v>
      </c>
      <c r="E20" s="18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166</v>
      </c>
      <c r="I20" s="6"/>
    </row>
    <row r="21" customFormat="false" ht="23.85" hidden="false" customHeight="false" outlineLevel="0" collapsed="false">
      <c r="A21" s="7" t="n">
        <v>13</v>
      </c>
      <c r="B21" s="6" t="s">
        <v>160</v>
      </c>
      <c r="C21" s="6" t="s">
        <v>167</v>
      </c>
      <c r="D21" s="6" t="s">
        <v>144</v>
      </c>
      <c r="E21" s="18" t="s">
        <v>11</v>
      </c>
      <c r="F21" s="7" t="n">
        <f aca="false">IFERROR(MATCH(E21,{"Low","Low-Moderate","Moderate","Moderate-High","High","Exceptional"},0),"")</f>
        <v>4</v>
      </c>
      <c r="G21" s="6" t="s">
        <v>38</v>
      </c>
      <c r="H21" s="6" t="s">
        <v>168</v>
      </c>
      <c r="I21" s="6"/>
    </row>
    <row r="22" customFormat="false" ht="23.85" hidden="false" customHeight="false" outlineLevel="0" collapsed="false">
      <c r="A22" s="7" t="n">
        <v>14</v>
      </c>
      <c r="B22" s="6" t="s">
        <v>160</v>
      </c>
      <c r="C22" s="6" t="s">
        <v>169</v>
      </c>
      <c r="D22" s="6" t="s">
        <v>170</v>
      </c>
      <c r="E22" s="18" t="s">
        <v>11</v>
      </c>
      <c r="F22" s="7" t="n">
        <f aca="false">IFERROR(MATCH(E22,{"Low","Low-Moderate","Moderate","Moderate-High","High","Exceptional"},0),"")</f>
        <v>4</v>
      </c>
      <c r="G22" s="6" t="s">
        <v>70</v>
      </c>
      <c r="H22" s="6" t="s">
        <v>171</v>
      </c>
      <c r="I22" s="6"/>
    </row>
    <row r="23" customFormat="false" ht="15" hidden="false" customHeight="false" outlineLevel="0" collapsed="false">
      <c r="A23" s="11" t="s">
        <v>172</v>
      </c>
      <c r="B23" s="11"/>
      <c r="C23" s="11"/>
      <c r="D23" s="11"/>
      <c r="E23" s="11"/>
      <c r="F23" s="11"/>
      <c r="G23" s="11"/>
      <c r="H23" s="11"/>
      <c r="I23" s="11"/>
    </row>
    <row r="24" customFormat="false" ht="23.85" hidden="false" customHeight="false" outlineLevel="0" collapsed="false">
      <c r="A24" s="7" t="n">
        <v>15</v>
      </c>
      <c r="B24" s="6" t="s">
        <v>172</v>
      </c>
      <c r="C24" s="6" t="s">
        <v>173</v>
      </c>
      <c r="D24" s="6" t="s">
        <v>174</v>
      </c>
      <c r="E24" s="18" t="s">
        <v>11</v>
      </c>
      <c r="F24" s="7" t="n">
        <f aca="false">IFERROR(MATCH(E24,{"Low","Low-Moderate","Moderate","Moderate-High","High","Exceptional"},0),"")</f>
        <v>4</v>
      </c>
      <c r="G24" s="6" t="s">
        <v>38</v>
      </c>
      <c r="H24" s="6" t="s">
        <v>175</v>
      </c>
      <c r="I24" s="6"/>
    </row>
    <row r="25" customFormat="false" ht="23.85" hidden="false" customHeight="false" outlineLevel="0" collapsed="false">
      <c r="A25" s="7" t="n">
        <v>16</v>
      </c>
      <c r="B25" s="6" t="s">
        <v>172</v>
      </c>
      <c r="C25" s="6" t="s">
        <v>176</v>
      </c>
      <c r="D25" s="6" t="s">
        <v>86</v>
      </c>
      <c r="E25" s="18" t="s">
        <v>11</v>
      </c>
      <c r="F25" s="7" t="n">
        <f aca="false">IFERROR(MATCH(E25,{"Low","Low-Moderate","Moderate","Moderate-High","High","Exceptional"},0),"")</f>
        <v>4</v>
      </c>
      <c r="G25" s="6" t="s">
        <v>66</v>
      </c>
      <c r="H25" s="6" t="s">
        <v>177</v>
      </c>
      <c r="I25" s="6"/>
    </row>
    <row r="26" customFormat="false" ht="15" hidden="false" customHeight="false" outlineLevel="0" collapsed="false">
      <c r="A26" s="11" t="s">
        <v>178</v>
      </c>
      <c r="B26" s="11"/>
      <c r="C26" s="11"/>
      <c r="D26" s="11"/>
      <c r="E26" s="11"/>
      <c r="F26" s="11"/>
      <c r="G26" s="11"/>
      <c r="H26" s="11"/>
      <c r="I26" s="11"/>
    </row>
    <row r="27" customFormat="false" ht="23.85" hidden="false" customHeight="false" outlineLevel="0" collapsed="false">
      <c r="A27" s="7" t="n">
        <v>17</v>
      </c>
      <c r="B27" s="6" t="s">
        <v>178</v>
      </c>
      <c r="C27" s="6" t="s">
        <v>179</v>
      </c>
      <c r="D27" s="6" t="s">
        <v>180</v>
      </c>
      <c r="E27" s="12" t="s">
        <v>9</v>
      </c>
      <c r="F27" s="7" t="n">
        <f aca="false">IFERROR(MATCH(E27,{"Low","Low-Moderate","Moderate","Moderate-High","High","Exceptional"},0),"")</f>
        <v>6</v>
      </c>
      <c r="G27" s="6" t="s">
        <v>38</v>
      </c>
      <c r="H27" s="6" t="s">
        <v>181</v>
      </c>
      <c r="I27" s="6"/>
    </row>
    <row r="28" customFormat="false" ht="15" hidden="false" customHeight="false" outlineLevel="0" collapsed="false">
      <c r="A28" s="11" t="s">
        <v>182</v>
      </c>
      <c r="B28" s="11"/>
      <c r="C28" s="11"/>
      <c r="D28" s="11"/>
      <c r="E28" s="11"/>
      <c r="F28" s="11"/>
      <c r="G28" s="11"/>
      <c r="H28" s="11"/>
      <c r="I28" s="11"/>
    </row>
    <row r="29" customFormat="false" ht="23.85" hidden="false" customHeight="false" outlineLevel="0" collapsed="false">
      <c r="A29" s="7" t="n">
        <v>18</v>
      </c>
      <c r="B29" s="6" t="s">
        <v>182</v>
      </c>
      <c r="C29" s="6" t="s">
        <v>183</v>
      </c>
      <c r="D29" s="6" t="s">
        <v>184</v>
      </c>
      <c r="E29" s="17" t="s">
        <v>10</v>
      </c>
      <c r="F29" s="7" t="n">
        <f aca="false">IFERROR(MATCH(E29,{"Low","Low-Moderate","Moderate","Moderate-High","High","Exceptional"},0),"")</f>
        <v>5</v>
      </c>
      <c r="G29" s="6" t="s">
        <v>80</v>
      </c>
      <c r="H29" s="6" t="s">
        <v>185</v>
      </c>
      <c r="I29" s="6"/>
    </row>
    <row r="30" customFormat="false" ht="23.85" hidden="false" customHeight="false" outlineLevel="0" collapsed="false">
      <c r="A30" s="7" t="n">
        <v>19</v>
      </c>
      <c r="B30" s="6" t="s">
        <v>182</v>
      </c>
      <c r="C30" s="6" t="s">
        <v>186</v>
      </c>
      <c r="D30" s="6" t="s">
        <v>144</v>
      </c>
      <c r="E30" s="15" t="s">
        <v>12</v>
      </c>
      <c r="F30" s="7" t="n">
        <f aca="false">IFERROR(MATCH(E30,{"Low","Low-Moderate","Moderate","Moderate-High","High","Exceptional"},0),"")</f>
        <v>3</v>
      </c>
      <c r="G30" s="6" t="s">
        <v>38</v>
      </c>
      <c r="H30" s="6" t="s">
        <v>187</v>
      </c>
      <c r="I30" s="6"/>
    </row>
    <row r="31" customFormat="false" ht="23.85" hidden="false" customHeight="false" outlineLevel="0" collapsed="false">
      <c r="A31" s="7" t="n">
        <v>20</v>
      </c>
      <c r="B31" s="6" t="s">
        <v>182</v>
      </c>
      <c r="C31" s="6" t="s">
        <v>188</v>
      </c>
      <c r="D31" s="6" t="s">
        <v>92</v>
      </c>
      <c r="E31" s="15" t="s">
        <v>12</v>
      </c>
      <c r="F31" s="7" t="n">
        <f aca="false">IFERROR(MATCH(E31,{"Low","Low-Moderate","Moderate","Moderate-High","High","Exceptional"},0),"")</f>
        <v>3</v>
      </c>
      <c r="G31" s="6" t="s">
        <v>38</v>
      </c>
      <c r="H31" s="6" t="s">
        <v>189</v>
      </c>
      <c r="I31" s="6"/>
    </row>
    <row r="32" customFormat="false" ht="23.85" hidden="false" customHeight="false" outlineLevel="0" collapsed="false">
      <c r="A32" s="7" t="n">
        <v>21</v>
      </c>
      <c r="B32" s="6" t="s">
        <v>182</v>
      </c>
      <c r="C32" s="6" t="s">
        <v>190</v>
      </c>
      <c r="D32" s="6" t="s">
        <v>191</v>
      </c>
      <c r="E32" s="18" t="s">
        <v>11</v>
      </c>
      <c r="F32" s="7" t="n">
        <f aca="false">IFERROR(MATCH(E32,{"Low","Low-Moderate","Moderate","Moderate-High","High","Exceptional"},0),"")</f>
        <v>4</v>
      </c>
      <c r="G32" s="6" t="s">
        <v>38</v>
      </c>
      <c r="H32" s="6" t="s">
        <v>192</v>
      </c>
      <c r="I32" s="6"/>
    </row>
    <row r="33" customFormat="false" ht="23.85" hidden="false" customHeight="false" outlineLevel="0" collapsed="false">
      <c r="A33" s="7" t="n">
        <v>22</v>
      </c>
      <c r="B33" s="6" t="s">
        <v>182</v>
      </c>
      <c r="C33" s="6" t="s">
        <v>193</v>
      </c>
      <c r="D33" s="6" t="s">
        <v>153</v>
      </c>
      <c r="E33" s="15" t="s">
        <v>12</v>
      </c>
      <c r="F33" s="7" t="n">
        <f aca="false">IFERROR(MATCH(E33,{"Low","Low-Moderate","Moderate","Moderate-High","High","Exceptional"},0),"")</f>
        <v>3</v>
      </c>
      <c r="G33" s="6" t="s">
        <v>38</v>
      </c>
      <c r="H33" s="6" t="s">
        <v>194</v>
      </c>
      <c r="I33" s="6"/>
    </row>
    <row r="34" customFormat="false" ht="23.85" hidden="false" customHeight="false" outlineLevel="0" collapsed="false">
      <c r="A34" s="7" t="n">
        <v>23</v>
      </c>
      <c r="B34" s="6" t="s">
        <v>182</v>
      </c>
      <c r="C34" s="6" t="s">
        <v>195</v>
      </c>
      <c r="D34" s="6" t="s">
        <v>196</v>
      </c>
      <c r="E34" s="18" t="s">
        <v>11</v>
      </c>
      <c r="F34" s="7" t="n">
        <f aca="false">IFERROR(MATCH(E34,{"Low","Low-Moderate","Moderate","Moderate-High","High","Exceptional"},0),"")</f>
        <v>4</v>
      </c>
      <c r="G34" s="6" t="s">
        <v>70</v>
      </c>
      <c r="H34" s="6" t="s">
        <v>197</v>
      </c>
      <c r="I34" s="6"/>
    </row>
    <row r="35" customFormat="false" ht="23.85" hidden="false" customHeight="false" outlineLevel="0" collapsed="false">
      <c r="A35" s="7" t="n">
        <v>24</v>
      </c>
      <c r="B35" s="6" t="s">
        <v>182</v>
      </c>
      <c r="C35" s="6" t="s">
        <v>198</v>
      </c>
      <c r="D35" s="6" t="s">
        <v>199</v>
      </c>
      <c r="E35" s="18" t="s">
        <v>11</v>
      </c>
      <c r="F35" s="7" t="n">
        <f aca="false">IFERROR(MATCH(E35,{"Low","Low-Moderate","Moderate","Moderate-High","High","Exceptional"},0),"")</f>
        <v>4</v>
      </c>
      <c r="G35" s="6" t="s">
        <v>38</v>
      </c>
      <c r="H35" s="6" t="s">
        <v>200</v>
      </c>
      <c r="I35" s="6"/>
    </row>
    <row r="36" customFormat="false" ht="15" hidden="false" customHeight="false" outlineLevel="0" collapsed="false">
      <c r="A36" s="11" t="s">
        <v>201</v>
      </c>
      <c r="B36" s="11"/>
      <c r="C36" s="11"/>
      <c r="D36" s="11"/>
      <c r="E36" s="11"/>
      <c r="F36" s="11"/>
      <c r="G36" s="11"/>
      <c r="H36" s="11"/>
      <c r="I36" s="11"/>
    </row>
    <row r="37" customFormat="false" ht="35.05" hidden="false" customHeight="false" outlineLevel="0" collapsed="false">
      <c r="A37" s="7" t="n">
        <v>25</v>
      </c>
      <c r="B37" s="6" t="s">
        <v>201</v>
      </c>
      <c r="C37" s="6" t="s">
        <v>202</v>
      </c>
      <c r="D37" s="14" t="s">
        <v>203</v>
      </c>
      <c r="E37" s="16" t="s">
        <v>13</v>
      </c>
      <c r="F37" s="7" t="n">
        <f aca="false">IFERROR(MATCH(E37,{"Low","Low-Moderate","Moderate","Moderate-High","High","Exceptional"},0),"")</f>
        <v>2</v>
      </c>
      <c r="G37" s="6" t="s">
        <v>70</v>
      </c>
      <c r="H37" s="6" t="s">
        <v>204</v>
      </c>
      <c r="I37" s="6" t="s">
        <v>205</v>
      </c>
    </row>
    <row r="38" customFormat="false" ht="15" hidden="false" customHeight="false" outlineLevel="0" collapsed="false">
      <c r="A38" s="11" t="s">
        <v>206</v>
      </c>
      <c r="B38" s="11"/>
      <c r="C38" s="11"/>
      <c r="D38" s="11"/>
      <c r="E38" s="11"/>
      <c r="F38" s="11"/>
      <c r="G38" s="11"/>
      <c r="H38" s="11"/>
      <c r="I38" s="11"/>
    </row>
    <row r="39" customFormat="false" ht="23.85" hidden="false" customHeight="false" outlineLevel="0" collapsed="false">
      <c r="A39" s="7" t="n">
        <v>26</v>
      </c>
      <c r="B39" s="6" t="s">
        <v>206</v>
      </c>
      <c r="C39" s="6" t="s">
        <v>207</v>
      </c>
      <c r="D39" s="6" t="s">
        <v>208</v>
      </c>
      <c r="E39" s="15" t="s">
        <v>12</v>
      </c>
      <c r="F39" s="7" t="n">
        <f aca="false">IFERROR(MATCH(E39,{"Low","Low-Moderate","Moderate","Moderate-High","High","Exceptional"},0),"")</f>
        <v>3</v>
      </c>
      <c r="G39" s="6" t="s">
        <v>70</v>
      </c>
      <c r="H39" s="6" t="s">
        <v>209</v>
      </c>
      <c r="I39" s="6"/>
    </row>
    <row r="40" customFormat="false" ht="23.85" hidden="false" customHeight="false" outlineLevel="0" collapsed="false">
      <c r="A40" s="7" t="n">
        <v>27</v>
      </c>
      <c r="B40" s="6" t="s">
        <v>206</v>
      </c>
      <c r="C40" s="6" t="s">
        <v>152</v>
      </c>
      <c r="D40" s="6" t="s">
        <v>153</v>
      </c>
      <c r="E40" s="18" t="s">
        <v>11</v>
      </c>
      <c r="F40" s="7" t="n">
        <f aca="false">IFERROR(MATCH(E40,{"Low","Low-Moderate","Moderate","Moderate-High","High","Exceptional"},0),"")</f>
        <v>4</v>
      </c>
      <c r="G40" s="6" t="s">
        <v>70</v>
      </c>
      <c r="H40" s="6" t="s">
        <v>210</v>
      </c>
      <c r="I40" s="6"/>
    </row>
    <row r="41" customFormat="false" ht="15" hidden="false" customHeight="false" outlineLevel="0" collapsed="false">
      <c r="A41" s="11" t="s">
        <v>211</v>
      </c>
      <c r="B41" s="11"/>
      <c r="C41" s="11"/>
      <c r="D41" s="11"/>
      <c r="E41" s="11"/>
      <c r="F41" s="11"/>
      <c r="G41" s="11"/>
      <c r="H41" s="11"/>
      <c r="I41" s="11"/>
    </row>
    <row r="42" customFormat="false" ht="23.85" hidden="false" customHeight="false" outlineLevel="0" collapsed="false">
      <c r="A42" s="7" t="n">
        <v>28</v>
      </c>
      <c r="B42" s="6" t="s">
        <v>211</v>
      </c>
      <c r="C42" s="6" t="s">
        <v>212</v>
      </c>
      <c r="D42" s="6" t="s">
        <v>203</v>
      </c>
      <c r="E42" s="16" t="s">
        <v>13</v>
      </c>
      <c r="F42" s="7" t="n">
        <f aca="false">IFERROR(MATCH(E42,{"Low","Low-Moderate","Moderate","Moderate-High","High","Exceptional"},0),"")</f>
        <v>2</v>
      </c>
      <c r="G42" s="6" t="s">
        <v>70</v>
      </c>
      <c r="H42" s="6" t="s">
        <v>213</v>
      </c>
      <c r="I42" s="6"/>
    </row>
    <row r="43" customFormat="false" ht="46.25" hidden="false" customHeight="false" outlineLevel="0" collapsed="false">
      <c r="A43" s="7" t="n">
        <v>29</v>
      </c>
      <c r="B43" s="6" t="s">
        <v>211</v>
      </c>
      <c r="C43" s="6" t="s">
        <v>214</v>
      </c>
      <c r="D43" s="6" t="s">
        <v>215</v>
      </c>
      <c r="E43" s="13" t="s">
        <v>14</v>
      </c>
      <c r="F43" s="7" t="n">
        <f aca="false">IFERROR(MATCH(E43,{"Low","Low-Moderate","Moderate","Moderate-High","High","Exceptional"},0),"")</f>
        <v>1</v>
      </c>
      <c r="G43" s="6" t="s">
        <v>70</v>
      </c>
      <c r="H43" s="6" t="s">
        <v>216</v>
      </c>
      <c r="I43" s="6"/>
    </row>
    <row r="44" customFormat="false" ht="23.85" hidden="false" customHeight="false" outlineLevel="0" collapsed="false">
      <c r="A44" s="7" t="n">
        <v>30</v>
      </c>
      <c r="B44" s="6" t="s">
        <v>211</v>
      </c>
      <c r="C44" s="6" t="s">
        <v>217</v>
      </c>
      <c r="D44" s="6" t="s">
        <v>218</v>
      </c>
      <c r="E44" s="13" t="s">
        <v>14</v>
      </c>
      <c r="F44" s="7" t="n">
        <f aca="false">IFERROR(MATCH(E44,{"Low","Low-Moderate","Moderate","Moderate-High","High","Exceptional"},0),"")</f>
        <v>1</v>
      </c>
      <c r="G44" s="6" t="s">
        <v>70</v>
      </c>
      <c r="H44" s="6" t="s">
        <v>219</v>
      </c>
      <c r="I44" s="6"/>
    </row>
    <row r="45" customFormat="false" ht="23.85" hidden="false" customHeight="false" outlineLevel="0" collapsed="false">
      <c r="A45" s="7" t="n">
        <v>31</v>
      </c>
      <c r="B45" s="6" t="s">
        <v>211</v>
      </c>
      <c r="C45" s="6" t="s">
        <v>220</v>
      </c>
      <c r="D45" s="6" t="s">
        <v>221</v>
      </c>
      <c r="E45" s="15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222</v>
      </c>
      <c r="I45" s="6"/>
    </row>
    <row r="46" customFormat="false" ht="23.85" hidden="false" customHeight="false" outlineLevel="0" collapsed="false">
      <c r="A46" s="7" t="n">
        <v>32</v>
      </c>
      <c r="B46" s="6" t="s">
        <v>211</v>
      </c>
      <c r="C46" s="6" t="s">
        <v>223</v>
      </c>
      <c r="D46" s="6" t="s">
        <v>224</v>
      </c>
      <c r="E46" s="13" t="s">
        <v>14</v>
      </c>
      <c r="F46" s="7" t="n">
        <f aca="false">IFERROR(MATCH(E46,{"Low","Low-Moderate","Moderate","Moderate-High","High","Exceptional"},0),"")</f>
        <v>1</v>
      </c>
      <c r="G46" s="6" t="s">
        <v>38</v>
      </c>
      <c r="H46" s="6" t="s">
        <v>225</v>
      </c>
      <c r="I46" s="6"/>
    </row>
    <row r="47" customFormat="false" ht="35.05" hidden="false" customHeight="false" outlineLevel="0" collapsed="false">
      <c r="A47" s="7" t="n">
        <v>33</v>
      </c>
      <c r="B47" s="6" t="s">
        <v>211</v>
      </c>
      <c r="C47" s="6" t="s">
        <v>226</v>
      </c>
      <c r="D47" s="19" t="s">
        <v>227</v>
      </c>
      <c r="E47" s="12" t="s">
        <v>9</v>
      </c>
      <c r="F47" s="7" t="n">
        <f aca="false">IFERROR(MATCH(E47,{"Low","Low-Moderate","Moderate","Moderate-High","High","Exceptional"},0),"")</f>
        <v>6</v>
      </c>
      <c r="G47" s="6" t="s">
        <v>80</v>
      </c>
      <c r="H47" s="6" t="s">
        <v>228</v>
      </c>
      <c r="I47" s="6" t="s">
        <v>229</v>
      </c>
    </row>
    <row r="48" customFormat="false" ht="23.85" hidden="false" customHeight="false" outlineLevel="0" collapsed="false">
      <c r="A48" s="7" t="n">
        <v>34</v>
      </c>
      <c r="B48" s="6" t="s">
        <v>211</v>
      </c>
      <c r="C48" s="6" t="s">
        <v>230</v>
      </c>
      <c r="D48" s="6" t="s">
        <v>231</v>
      </c>
      <c r="E48" s="17" t="s">
        <v>10</v>
      </c>
      <c r="F48" s="7" t="n">
        <f aca="false">IFERROR(MATCH(E48,{"Low","Low-Moderate","Moderate","Moderate-High","High","Exceptional"},0),"")</f>
        <v>5</v>
      </c>
      <c r="G48" s="6" t="s">
        <v>38</v>
      </c>
      <c r="H48" s="6" t="s">
        <v>232</v>
      </c>
      <c r="I48" s="6"/>
    </row>
    <row r="49" customFormat="false" ht="23.85" hidden="false" customHeight="false" outlineLevel="0" collapsed="false">
      <c r="A49" s="7" t="n">
        <v>35</v>
      </c>
      <c r="B49" s="6" t="s">
        <v>211</v>
      </c>
      <c r="C49" s="6" t="s">
        <v>233</v>
      </c>
      <c r="D49" s="6" t="s">
        <v>196</v>
      </c>
      <c r="E49" s="18" t="s">
        <v>11</v>
      </c>
      <c r="F49" s="7" t="n">
        <f aca="false">IFERROR(MATCH(E49,{"Low","Low-Moderate","Moderate","Moderate-High","High","Exceptional"},0),"")</f>
        <v>4</v>
      </c>
      <c r="G49" s="6" t="s">
        <v>38</v>
      </c>
      <c r="H49" s="6" t="s">
        <v>234</v>
      </c>
      <c r="I49" s="6"/>
    </row>
    <row r="50" customFormat="false" ht="35.05" hidden="false" customHeight="false" outlineLevel="0" collapsed="false">
      <c r="A50" s="7" t="n">
        <v>36</v>
      </c>
      <c r="B50" s="6" t="s">
        <v>211</v>
      </c>
      <c r="C50" s="6" t="s">
        <v>235</v>
      </c>
      <c r="D50" s="6" t="s">
        <v>236</v>
      </c>
      <c r="E50" s="12" t="s">
        <v>9</v>
      </c>
      <c r="F50" s="7" t="n">
        <f aca="false">IFERROR(MATCH(E50,{"Low","Low-Moderate","Moderate","Moderate-High","High","Exceptional"},0),"")</f>
        <v>6</v>
      </c>
      <c r="G50" s="6" t="s">
        <v>38</v>
      </c>
      <c r="H50" s="6" t="s">
        <v>237</v>
      </c>
      <c r="I50" s="6"/>
    </row>
    <row r="51" customFormat="false" ht="23.85" hidden="false" customHeight="false" outlineLevel="0" collapsed="false">
      <c r="A51" s="7" t="n">
        <v>37</v>
      </c>
      <c r="B51" s="6" t="s">
        <v>211</v>
      </c>
      <c r="C51" s="6" t="s">
        <v>238</v>
      </c>
      <c r="D51" s="6" t="s">
        <v>92</v>
      </c>
      <c r="E51" s="12" t="s">
        <v>9</v>
      </c>
      <c r="F51" s="7" t="n">
        <f aca="false">IFERROR(MATCH(E51,{"Low","Low-Moderate","Moderate","Moderate-High","High","Exceptional"},0),"")</f>
        <v>6</v>
      </c>
      <c r="G51" s="6" t="s">
        <v>38</v>
      </c>
      <c r="H51" s="6" t="s">
        <v>239</v>
      </c>
      <c r="I51" s="6"/>
    </row>
    <row r="52" customFormat="false" ht="35.05" hidden="false" customHeight="false" outlineLevel="0" collapsed="false">
      <c r="A52" s="7" t="n">
        <v>38</v>
      </c>
      <c r="B52" s="6" t="s">
        <v>211</v>
      </c>
      <c r="C52" s="6" t="s">
        <v>240</v>
      </c>
      <c r="D52" s="6" t="s">
        <v>241</v>
      </c>
      <c r="E52" s="15" t="s">
        <v>12</v>
      </c>
      <c r="F52" s="7" t="n">
        <f aca="false">IFERROR(MATCH(E52,{"Low","Low-Moderate","Moderate","Moderate-High","High","Exceptional"},0),"")</f>
        <v>3</v>
      </c>
      <c r="G52" s="6" t="s">
        <v>38</v>
      </c>
      <c r="H52" s="6" t="s">
        <v>242</v>
      </c>
      <c r="I52" s="6"/>
    </row>
    <row r="53" customFormat="false" ht="15" hidden="false" customHeight="false" outlineLevel="0" collapsed="false">
      <c r="A53" s="11" t="s">
        <v>243</v>
      </c>
      <c r="B53" s="11"/>
      <c r="C53" s="11"/>
      <c r="D53" s="11"/>
      <c r="E53" s="11"/>
      <c r="F53" s="11"/>
      <c r="G53" s="11"/>
      <c r="H53" s="11"/>
      <c r="I53" s="11"/>
    </row>
    <row r="54" customFormat="false" ht="23.85" hidden="false" customHeight="false" outlineLevel="0" collapsed="false">
      <c r="A54" s="7" t="n">
        <v>39</v>
      </c>
      <c r="B54" s="6" t="s">
        <v>243</v>
      </c>
      <c r="C54" s="6" t="s">
        <v>244</v>
      </c>
      <c r="D54" s="6" t="s">
        <v>44</v>
      </c>
      <c r="E54" s="18" t="s">
        <v>11</v>
      </c>
      <c r="F54" s="7" t="n">
        <f aca="false">IFERROR(MATCH(E54,{"Low","Low-Moderate","Moderate","Moderate-High","High","Exceptional"},0),"")</f>
        <v>4</v>
      </c>
      <c r="G54" s="6" t="s">
        <v>70</v>
      </c>
      <c r="H54" s="6" t="s">
        <v>245</v>
      </c>
      <c r="I54" s="6"/>
    </row>
    <row r="55" customFormat="false" ht="23.85" hidden="false" customHeight="false" outlineLevel="0" collapsed="false">
      <c r="A55" s="7" t="n">
        <v>40</v>
      </c>
      <c r="B55" s="6" t="s">
        <v>243</v>
      </c>
      <c r="C55" s="6" t="s">
        <v>155</v>
      </c>
      <c r="D55" s="6" t="s">
        <v>131</v>
      </c>
      <c r="E55" s="15" t="s">
        <v>12</v>
      </c>
      <c r="F55" s="7" t="n">
        <f aca="false">IFERROR(MATCH(E55,{"Low","Low-Moderate","Moderate","Moderate-High","High","Exceptional"},0),"")</f>
        <v>3</v>
      </c>
      <c r="G55" s="6" t="s">
        <v>70</v>
      </c>
      <c r="H55" s="6" t="s">
        <v>246</v>
      </c>
      <c r="I55" s="6"/>
    </row>
    <row r="57" customFormat="false" ht="15" hidden="false" customHeight="false" outlineLevel="0" collapsed="false">
      <c r="A57" s="2" t="s">
        <v>127</v>
      </c>
    </row>
  </sheetData>
  <autoFilter ref="A4:I55"/>
  <mergeCells count="11">
    <mergeCell ref="A5:I5"/>
    <mergeCell ref="A8:I8"/>
    <mergeCell ref="A14:I14"/>
    <mergeCell ref="A18:I18"/>
    <mergeCell ref="A23:I23"/>
    <mergeCell ref="A26:I26"/>
    <mergeCell ref="A28:I28"/>
    <mergeCell ref="A36:I36"/>
    <mergeCell ref="A38:I38"/>
    <mergeCell ref="A41:I41"/>
    <mergeCell ref="A53:I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247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248</v>
      </c>
      <c r="B5" s="11"/>
      <c r="C5" s="11"/>
      <c r="D5" s="11"/>
      <c r="E5" s="11"/>
      <c r="F5" s="11"/>
      <c r="G5" s="11"/>
      <c r="H5" s="11"/>
      <c r="I5" s="11"/>
    </row>
    <row r="6" customFormat="false" ht="35.05" hidden="false" customHeight="false" outlineLevel="0" collapsed="false">
      <c r="A6" s="7" t="n">
        <v>1</v>
      </c>
      <c r="B6" s="6" t="s">
        <v>248</v>
      </c>
      <c r="C6" s="6" t="s">
        <v>249</v>
      </c>
      <c r="D6" s="6" t="s">
        <v>250</v>
      </c>
      <c r="E6" s="18" t="s">
        <v>11</v>
      </c>
      <c r="F6" s="7" t="n">
        <f aca="false">IFERROR(MATCH(E6,{"Low","Low-Moderate","Moderate","Moderate-High","High","Exceptional"},0),"")</f>
        <v>4</v>
      </c>
      <c r="G6" s="6" t="s">
        <v>80</v>
      </c>
      <c r="H6" s="6" t="s">
        <v>251</v>
      </c>
      <c r="I6" s="6"/>
    </row>
    <row r="7" customFormat="false" ht="23.85" hidden="false" customHeight="false" outlineLevel="0" collapsed="false">
      <c r="A7" s="7" t="n">
        <v>2</v>
      </c>
      <c r="B7" s="6" t="s">
        <v>248</v>
      </c>
      <c r="C7" s="6" t="s">
        <v>252</v>
      </c>
      <c r="D7" s="6" t="s">
        <v>253</v>
      </c>
      <c r="E7" s="15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254</v>
      </c>
      <c r="I7" s="6"/>
    </row>
    <row r="8" customFormat="false" ht="35.05" hidden="false" customHeight="false" outlineLevel="0" collapsed="false">
      <c r="A8" s="7" t="n">
        <v>3</v>
      </c>
      <c r="B8" s="6" t="s">
        <v>248</v>
      </c>
      <c r="C8" s="6" t="s">
        <v>255</v>
      </c>
      <c r="D8" s="6" t="s">
        <v>256</v>
      </c>
      <c r="E8" s="15" t="s">
        <v>12</v>
      </c>
      <c r="F8" s="7" t="n">
        <f aca="false">IFERROR(MATCH(E8,{"Low","Low-Moderate","Moderate","Moderate-High","High","Exceptional"},0),"")</f>
        <v>3</v>
      </c>
      <c r="G8" s="6" t="s">
        <v>66</v>
      </c>
      <c r="H8" s="6" t="s">
        <v>257</v>
      </c>
      <c r="I8" s="6"/>
    </row>
    <row r="9" customFormat="false" ht="15" hidden="false" customHeight="false" outlineLevel="0" collapsed="false">
      <c r="A9" s="11" t="s">
        <v>258</v>
      </c>
      <c r="B9" s="11"/>
      <c r="C9" s="11"/>
      <c r="D9" s="11"/>
      <c r="E9" s="11"/>
      <c r="F9" s="11"/>
      <c r="G9" s="11"/>
      <c r="H9" s="11"/>
      <c r="I9" s="11"/>
    </row>
    <row r="10" customFormat="false" ht="23.85" hidden="false" customHeight="false" outlineLevel="0" collapsed="false">
      <c r="A10" s="7" t="n">
        <v>4</v>
      </c>
      <c r="B10" s="6" t="s">
        <v>258</v>
      </c>
      <c r="C10" s="6" t="s">
        <v>259</v>
      </c>
      <c r="D10" s="6" t="s">
        <v>260</v>
      </c>
      <c r="E10" s="18" t="s">
        <v>11</v>
      </c>
      <c r="F10" s="7" t="n">
        <f aca="false">IFERROR(MATCH(E10,{"Low","Low-Moderate","Moderate","Moderate-High","High","Exceptional"},0),"")</f>
        <v>4</v>
      </c>
      <c r="G10" s="6" t="s">
        <v>38</v>
      </c>
      <c r="H10" s="6" t="s">
        <v>261</v>
      </c>
      <c r="I10" s="6"/>
    </row>
    <row r="11" customFormat="false" ht="23.85" hidden="false" customHeight="false" outlineLevel="0" collapsed="false">
      <c r="A11" s="7" t="n">
        <v>5</v>
      </c>
      <c r="B11" s="6" t="s">
        <v>258</v>
      </c>
      <c r="C11" s="6" t="s">
        <v>262</v>
      </c>
      <c r="D11" s="6" t="s">
        <v>263</v>
      </c>
      <c r="E11" s="15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264</v>
      </c>
      <c r="I11" s="6"/>
    </row>
    <row r="12" customFormat="false" ht="15" hidden="false" customHeight="false" outlineLevel="0" collapsed="false">
      <c r="A12" s="11" t="s">
        <v>265</v>
      </c>
      <c r="B12" s="11"/>
      <c r="C12" s="11"/>
      <c r="D12" s="11"/>
      <c r="E12" s="11"/>
      <c r="F12" s="11"/>
      <c r="G12" s="11"/>
      <c r="H12" s="11"/>
      <c r="I12" s="11"/>
    </row>
    <row r="13" customFormat="false" ht="46.25" hidden="false" customHeight="false" outlineLevel="0" collapsed="false">
      <c r="A13" s="7" t="n">
        <v>6</v>
      </c>
      <c r="B13" s="6" t="s">
        <v>265</v>
      </c>
      <c r="C13" s="6" t="s">
        <v>266</v>
      </c>
      <c r="D13" s="6" t="s">
        <v>267</v>
      </c>
      <c r="E13" s="18" t="s">
        <v>11</v>
      </c>
      <c r="F13" s="7" t="n">
        <f aca="false">IFERROR(MATCH(E13,{"Low","Low-Moderate","Moderate","Moderate-High","High","Exceptional"},0),"")</f>
        <v>4</v>
      </c>
      <c r="G13" s="6" t="s">
        <v>66</v>
      </c>
      <c r="H13" s="6" t="s">
        <v>268</v>
      </c>
      <c r="I13" s="6" t="s">
        <v>269</v>
      </c>
    </row>
    <row r="14" customFormat="false" ht="23.85" hidden="false" customHeight="false" outlineLevel="0" collapsed="false">
      <c r="A14" s="7" t="n">
        <v>7</v>
      </c>
      <c r="B14" s="6" t="s">
        <v>265</v>
      </c>
      <c r="C14" s="6" t="s">
        <v>167</v>
      </c>
      <c r="D14" s="6" t="s">
        <v>270</v>
      </c>
      <c r="E14" s="15" t="s">
        <v>12</v>
      </c>
      <c r="F14" s="7" t="n">
        <f aca="false">IFERROR(MATCH(E14,{"Low","Low-Moderate","Moderate","Moderate-High","High","Exceptional"},0),"")</f>
        <v>3</v>
      </c>
      <c r="G14" s="6" t="s">
        <v>38</v>
      </c>
      <c r="H14" s="6" t="s">
        <v>271</v>
      </c>
      <c r="I14" s="6"/>
    </row>
    <row r="15" customFormat="false" ht="57.45" hidden="false" customHeight="false" outlineLevel="0" collapsed="false">
      <c r="A15" s="7" t="n">
        <v>8</v>
      </c>
      <c r="B15" s="6" t="s">
        <v>265</v>
      </c>
      <c r="C15" s="6" t="s">
        <v>272</v>
      </c>
      <c r="D15" s="19" t="s">
        <v>191</v>
      </c>
      <c r="E15" s="15" t="s">
        <v>12</v>
      </c>
      <c r="F15" s="7" t="n">
        <f aca="false">IFERROR(MATCH(E15,{"Low","Low-Moderate","Moderate","Moderate-High","High","Exceptional"},0),"")</f>
        <v>3</v>
      </c>
      <c r="G15" s="6" t="s">
        <v>80</v>
      </c>
      <c r="H15" s="6" t="s">
        <v>273</v>
      </c>
      <c r="I15" s="6" t="s">
        <v>274</v>
      </c>
    </row>
    <row r="16" customFormat="false" ht="15" hidden="false" customHeight="false" outlineLevel="0" collapsed="false">
      <c r="A16" s="11" t="s">
        <v>275</v>
      </c>
      <c r="B16" s="11"/>
      <c r="C16" s="11"/>
      <c r="D16" s="11"/>
      <c r="E16" s="11"/>
      <c r="F16" s="11"/>
      <c r="G16" s="11"/>
      <c r="H16" s="11"/>
      <c r="I16" s="11"/>
    </row>
    <row r="17" customFormat="false" ht="23.85" hidden="false" customHeight="false" outlineLevel="0" collapsed="false">
      <c r="A17" s="7" t="n">
        <v>9</v>
      </c>
      <c r="B17" s="6" t="s">
        <v>275</v>
      </c>
      <c r="C17" s="6" t="s">
        <v>276</v>
      </c>
      <c r="D17" s="6" t="s">
        <v>196</v>
      </c>
      <c r="E17" s="18" t="s">
        <v>11</v>
      </c>
      <c r="F17" s="7" t="n">
        <f aca="false">IFERROR(MATCH(E17,{"Low","Low-Moderate","Moderate","Moderate-High","High","Exceptional"},0),"")</f>
        <v>4</v>
      </c>
      <c r="G17" s="6" t="s">
        <v>38</v>
      </c>
      <c r="H17" s="6" t="s">
        <v>277</v>
      </c>
      <c r="I17" s="6"/>
    </row>
    <row r="18" customFormat="false" ht="23.85" hidden="false" customHeight="false" outlineLevel="0" collapsed="false">
      <c r="A18" s="7" t="n">
        <v>10</v>
      </c>
      <c r="B18" s="6" t="s">
        <v>275</v>
      </c>
      <c r="C18" s="6" t="s">
        <v>278</v>
      </c>
      <c r="D18" s="6" t="s">
        <v>279</v>
      </c>
      <c r="E18" s="17" t="s">
        <v>10</v>
      </c>
      <c r="F18" s="7" t="n">
        <f aca="false">IFERROR(MATCH(E18,{"Low","Low-Moderate","Moderate","Moderate-High","High","Exceptional"},0),"")</f>
        <v>5</v>
      </c>
      <c r="G18" s="6" t="s">
        <v>38</v>
      </c>
      <c r="H18" s="6" t="s">
        <v>280</v>
      </c>
      <c r="I18" s="6"/>
    </row>
    <row r="19" customFormat="false" ht="23.85" hidden="false" customHeight="false" outlineLevel="0" collapsed="false">
      <c r="A19" s="7" t="n">
        <v>11</v>
      </c>
      <c r="B19" s="6" t="s">
        <v>275</v>
      </c>
      <c r="C19" s="6" t="s">
        <v>281</v>
      </c>
      <c r="D19" s="6" t="s">
        <v>282</v>
      </c>
      <c r="E19" s="16" t="s">
        <v>13</v>
      </c>
      <c r="F19" s="7" t="n">
        <f aca="false">IFERROR(MATCH(E19,{"Low","Low-Moderate","Moderate","Moderate-High","High","Exceptional"},0),"")</f>
        <v>2</v>
      </c>
      <c r="G19" s="6" t="s">
        <v>38</v>
      </c>
      <c r="H19" s="6" t="s">
        <v>283</v>
      </c>
      <c r="I19" s="6"/>
    </row>
    <row r="20" customFormat="false" ht="15" hidden="false" customHeight="false" outlineLevel="0" collapsed="false">
      <c r="A20" s="11" t="s">
        <v>284</v>
      </c>
      <c r="B20" s="11"/>
      <c r="C20" s="11"/>
      <c r="D20" s="11"/>
      <c r="E20" s="11"/>
      <c r="F20" s="11"/>
      <c r="G20" s="11"/>
      <c r="H20" s="11"/>
      <c r="I20" s="11"/>
    </row>
    <row r="21" customFormat="false" ht="23.85" hidden="false" customHeight="false" outlineLevel="0" collapsed="false">
      <c r="A21" s="7" t="n">
        <v>12</v>
      </c>
      <c r="B21" s="6" t="s">
        <v>284</v>
      </c>
      <c r="C21" s="6" t="s">
        <v>285</v>
      </c>
      <c r="D21" s="6" t="s">
        <v>286</v>
      </c>
      <c r="E21" s="17" t="s">
        <v>10</v>
      </c>
      <c r="F21" s="7" t="n">
        <f aca="false">IFERROR(MATCH(E21,{"Low","Low-Moderate","Moderate","Moderate-High","High","Exceptional"},0),"")</f>
        <v>5</v>
      </c>
      <c r="G21" s="6" t="s">
        <v>38</v>
      </c>
      <c r="H21" s="6" t="s">
        <v>287</v>
      </c>
      <c r="I21" s="6"/>
    </row>
    <row r="22" customFormat="false" ht="23.85" hidden="false" customHeight="false" outlineLevel="0" collapsed="false">
      <c r="A22" s="7" t="n">
        <v>13</v>
      </c>
      <c r="B22" s="6" t="s">
        <v>284</v>
      </c>
      <c r="C22" s="6" t="s">
        <v>288</v>
      </c>
      <c r="D22" s="6" t="s">
        <v>289</v>
      </c>
      <c r="E22" s="12" t="s">
        <v>9</v>
      </c>
      <c r="F22" s="7" t="n">
        <f aca="false">IFERROR(MATCH(E22,{"Low","Low-Moderate","Moderate","Moderate-High","High","Exceptional"},0),"")</f>
        <v>6</v>
      </c>
      <c r="G22" s="6" t="s">
        <v>38</v>
      </c>
      <c r="H22" s="6" t="s">
        <v>290</v>
      </c>
      <c r="I22" s="6"/>
    </row>
    <row r="23" customFormat="false" ht="23.85" hidden="false" customHeight="false" outlineLevel="0" collapsed="false">
      <c r="A23" s="7" t="n">
        <v>14</v>
      </c>
      <c r="B23" s="6" t="s">
        <v>284</v>
      </c>
      <c r="C23" s="6" t="s">
        <v>291</v>
      </c>
      <c r="D23" s="6" t="s">
        <v>292</v>
      </c>
      <c r="E23" s="12" t="s">
        <v>9</v>
      </c>
      <c r="F23" s="7" t="n">
        <f aca="false">IFERROR(MATCH(E23,{"Low","Low-Moderate","Moderate","Moderate-High","High","Exceptional"},0),"")</f>
        <v>6</v>
      </c>
      <c r="G23" s="6" t="s">
        <v>38</v>
      </c>
      <c r="H23" s="6" t="s">
        <v>293</v>
      </c>
      <c r="I23" s="6"/>
    </row>
    <row r="24" customFormat="false" ht="23.85" hidden="false" customHeight="false" outlineLevel="0" collapsed="false">
      <c r="A24" s="7" t="n">
        <v>15</v>
      </c>
      <c r="B24" s="6" t="s">
        <v>284</v>
      </c>
      <c r="C24" s="6" t="s">
        <v>294</v>
      </c>
      <c r="D24" s="6" t="s">
        <v>295</v>
      </c>
      <c r="E24" s="17" t="s">
        <v>10</v>
      </c>
      <c r="F24" s="7" t="n">
        <f aca="false">IFERROR(MATCH(E24,{"Low","Low-Moderate","Moderate","Moderate-High","High","Exceptional"},0),"")</f>
        <v>5</v>
      </c>
      <c r="G24" s="6" t="s">
        <v>38</v>
      </c>
      <c r="H24" s="6" t="s">
        <v>296</v>
      </c>
      <c r="I24" s="6"/>
    </row>
    <row r="25" customFormat="false" ht="23.85" hidden="false" customHeight="false" outlineLevel="0" collapsed="false">
      <c r="A25" s="7" t="n">
        <v>16</v>
      </c>
      <c r="B25" s="6" t="s">
        <v>284</v>
      </c>
      <c r="C25" s="6" t="s">
        <v>297</v>
      </c>
      <c r="D25" s="6" t="s">
        <v>298</v>
      </c>
      <c r="E25" s="18" t="s">
        <v>11</v>
      </c>
      <c r="F25" s="7" t="n">
        <f aca="false">IFERROR(MATCH(E25,{"Low","Low-Moderate","Moderate","Moderate-High","High","Exceptional"},0),"")</f>
        <v>4</v>
      </c>
      <c r="G25" s="6" t="s">
        <v>38</v>
      </c>
      <c r="H25" s="6" t="s">
        <v>299</v>
      </c>
      <c r="I25" s="6"/>
    </row>
    <row r="26" customFormat="false" ht="15" hidden="false" customHeight="false" outlineLevel="0" collapsed="false">
      <c r="A26" s="11" t="s">
        <v>300</v>
      </c>
      <c r="B26" s="11"/>
      <c r="C26" s="11"/>
      <c r="D26" s="11"/>
      <c r="E26" s="11"/>
      <c r="F26" s="11"/>
      <c r="G26" s="11"/>
      <c r="H26" s="11"/>
      <c r="I26" s="11"/>
    </row>
    <row r="27" customFormat="false" ht="35.05" hidden="false" customHeight="false" outlineLevel="0" collapsed="false">
      <c r="A27" s="7" t="n">
        <v>17</v>
      </c>
      <c r="B27" s="6" t="s">
        <v>300</v>
      </c>
      <c r="C27" s="6" t="s">
        <v>301</v>
      </c>
      <c r="D27" s="6" t="s">
        <v>302</v>
      </c>
      <c r="E27" s="15" t="s">
        <v>12</v>
      </c>
      <c r="F27" s="7" t="n">
        <f aca="false">IFERROR(MATCH(E27,{"Low","Low-Moderate","Moderate","Moderate-High","High","Exceptional"},0),"")</f>
        <v>3</v>
      </c>
      <c r="G27" s="6" t="s">
        <v>38</v>
      </c>
      <c r="H27" s="6" t="s">
        <v>303</v>
      </c>
      <c r="I27" s="6"/>
    </row>
    <row r="28" customFormat="false" ht="35.05" hidden="false" customHeight="false" outlineLevel="0" collapsed="false">
      <c r="A28" s="7" t="n">
        <v>18</v>
      </c>
      <c r="B28" s="6" t="s">
        <v>300</v>
      </c>
      <c r="C28" s="6" t="s">
        <v>304</v>
      </c>
      <c r="D28" s="6" t="s">
        <v>92</v>
      </c>
      <c r="E28" s="15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305</v>
      </c>
      <c r="I28" s="6"/>
    </row>
    <row r="29" customFormat="false" ht="35.05" hidden="false" customHeight="false" outlineLevel="0" collapsed="false">
      <c r="A29" s="7" t="n">
        <v>19</v>
      </c>
      <c r="B29" s="6" t="s">
        <v>300</v>
      </c>
      <c r="C29" s="6" t="s">
        <v>306</v>
      </c>
      <c r="D29" s="6" t="s">
        <v>307</v>
      </c>
      <c r="E29" s="15" t="s">
        <v>12</v>
      </c>
      <c r="F29" s="7" t="n">
        <f aca="false">IFERROR(MATCH(E29,{"Low","Low-Moderate","Moderate","Moderate-High","High","Exceptional"},0),"")</f>
        <v>3</v>
      </c>
      <c r="G29" s="6" t="s">
        <v>38</v>
      </c>
      <c r="H29" s="6" t="s">
        <v>308</v>
      </c>
      <c r="I29" s="6"/>
    </row>
    <row r="30" customFormat="false" ht="23.85" hidden="false" customHeight="false" outlineLevel="0" collapsed="false">
      <c r="A30" s="7" t="n">
        <v>20</v>
      </c>
      <c r="B30" s="6" t="s">
        <v>300</v>
      </c>
      <c r="C30" s="6" t="s">
        <v>309</v>
      </c>
      <c r="D30" s="6" t="s">
        <v>310</v>
      </c>
      <c r="E30" s="18" t="s">
        <v>11</v>
      </c>
      <c r="F30" s="7" t="n">
        <f aca="false">IFERROR(MATCH(E30,{"Low","Low-Moderate","Moderate","Moderate-High","High","Exceptional"},0),"")</f>
        <v>4</v>
      </c>
      <c r="G30" s="6" t="s">
        <v>38</v>
      </c>
      <c r="H30" s="6" t="s">
        <v>311</v>
      </c>
      <c r="I30" s="6"/>
    </row>
    <row r="31" customFormat="false" ht="23.85" hidden="false" customHeight="false" outlineLevel="0" collapsed="false">
      <c r="A31" s="7" t="n">
        <v>21</v>
      </c>
      <c r="B31" s="6" t="s">
        <v>300</v>
      </c>
      <c r="C31" s="6" t="s">
        <v>312</v>
      </c>
      <c r="D31" s="6" t="s">
        <v>313</v>
      </c>
      <c r="E31" s="17" t="s">
        <v>10</v>
      </c>
      <c r="F31" s="7" t="n">
        <f aca="false">IFERROR(MATCH(E31,{"Low","Low-Moderate","Moderate","Moderate-High","High","Exceptional"},0),"")</f>
        <v>5</v>
      </c>
      <c r="G31" s="6" t="s">
        <v>38</v>
      </c>
      <c r="H31" s="6" t="s">
        <v>314</v>
      </c>
      <c r="I31" s="6"/>
    </row>
    <row r="32" customFormat="false" ht="15" hidden="false" customHeight="false" outlineLevel="0" collapsed="false">
      <c r="A32" s="11" t="s">
        <v>315</v>
      </c>
      <c r="B32" s="11"/>
      <c r="C32" s="11"/>
      <c r="D32" s="11"/>
      <c r="E32" s="11"/>
      <c r="F32" s="11"/>
      <c r="G32" s="11"/>
      <c r="H32" s="11"/>
      <c r="I32" s="11"/>
    </row>
    <row r="33" customFormat="false" ht="35.05" hidden="false" customHeight="false" outlineLevel="0" collapsed="false">
      <c r="A33" s="7" t="n">
        <v>22</v>
      </c>
      <c r="B33" s="6" t="s">
        <v>315</v>
      </c>
      <c r="C33" s="6" t="s">
        <v>316</v>
      </c>
      <c r="D33" s="6" t="s">
        <v>317</v>
      </c>
      <c r="E33" s="18" t="s">
        <v>11</v>
      </c>
      <c r="F33" s="7" t="n">
        <f aca="false">IFERROR(MATCH(E33,{"Low","Low-Moderate","Moderate","Moderate-High","High","Exceptional"},0),"")</f>
        <v>4</v>
      </c>
      <c r="G33" s="6" t="s">
        <v>66</v>
      </c>
      <c r="H33" s="6" t="s">
        <v>318</v>
      </c>
      <c r="I33" s="6"/>
    </row>
    <row r="34" customFormat="false" ht="15" hidden="false" customHeight="false" outlineLevel="0" collapsed="false">
      <c r="A34" s="11" t="s">
        <v>319</v>
      </c>
      <c r="B34" s="11"/>
      <c r="C34" s="11"/>
      <c r="D34" s="11"/>
      <c r="E34" s="11"/>
      <c r="F34" s="11"/>
      <c r="G34" s="11"/>
      <c r="H34" s="11"/>
      <c r="I34" s="11"/>
    </row>
    <row r="35" customFormat="false" ht="23.85" hidden="false" customHeight="false" outlineLevel="0" collapsed="false">
      <c r="A35" s="7" t="n">
        <v>23</v>
      </c>
      <c r="B35" s="6" t="s">
        <v>319</v>
      </c>
      <c r="C35" s="6" t="s">
        <v>320</v>
      </c>
      <c r="D35" s="6" t="s">
        <v>321</v>
      </c>
      <c r="E35" s="18" t="s">
        <v>11</v>
      </c>
      <c r="F35" s="7" t="n">
        <f aca="false">IFERROR(MATCH(E35,{"Low","Low-Moderate","Moderate","Moderate-High","High","Exceptional"},0),"")</f>
        <v>4</v>
      </c>
      <c r="G35" s="6" t="s">
        <v>70</v>
      </c>
      <c r="H35" s="6" t="s">
        <v>322</v>
      </c>
      <c r="I35" s="6"/>
    </row>
    <row r="36" customFormat="false" ht="23.85" hidden="false" customHeight="false" outlineLevel="0" collapsed="false">
      <c r="A36" s="7" t="n">
        <v>24</v>
      </c>
      <c r="B36" s="6" t="s">
        <v>319</v>
      </c>
      <c r="C36" s="6" t="s">
        <v>323</v>
      </c>
      <c r="D36" s="6" t="s">
        <v>324</v>
      </c>
      <c r="E36" s="18" t="s">
        <v>11</v>
      </c>
      <c r="F36" s="7" t="n">
        <f aca="false">IFERROR(MATCH(E36,{"Low","Low-Moderate","Moderate","Moderate-High","High","Exceptional"},0),"")</f>
        <v>4</v>
      </c>
      <c r="G36" s="6" t="s">
        <v>38</v>
      </c>
      <c r="H36" s="6" t="s">
        <v>325</v>
      </c>
      <c r="I36" s="6"/>
    </row>
    <row r="37" customFormat="false" ht="23.85" hidden="false" customHeight="false" outlineLevel="0" collapsed="false">
      <c r="A37" s="7" t="n">
        <v>25</v>
      </c>
      <c r="B37" s="6" t="s">
        <v>319</v>
      </c>
      <c r="C37" s="6" t="s">
        <v>326</v>
      </c>
      <c r="D37" s="6" t="s">
        <v>327</v>
      </c>
      <c r="E37" s="15" t="s">
        <v>12</v>
      </c>
      <c r="F37" s="7" t="n">
        <f aca="false">IFERROR(MATCH(E37,{"Low","Low-Moderate","Moderate","Moderate-High","High","Exceptional"},0),"")</f>
        <v>3</v>
      </c>
      <c r="G37" s="6" t="s">
        <v>38</v>
      </c>
      <c r="H37" s="6" t="s">
        <v>328</v>
      </c>
      <c r="I37" s="6"/>
    </row>
    <row r="38" customFormat="false" ht="35.05" hidden="false" customHeight="false" outlineLevel="0" collapsed="false">
      <c r="A38" s="7" t="n">
        <v>26</v>
      </c>
      <c r="B38" s="6" t="s">
        <v>319</v>
      </c>
      <c r="C38" s="6" t="s">
        <v>329</v>
      </c>
      <c r="D38" s="6" t="s">
        <v>327</v>
      </c>
      <c r="E38" s="15" t="s">
        <v>12</v>
      </c>
      <c r="F38" s="7" t="n">
        <f aca="false">IFERROR(MATCH(E38,{"Low","Low-Moderate","Moderate","Moderate-High","High","Exceptional"},0),"")</f>
        <v>3</v>
      </c>
      <c r="G38" s="6" t="s">
        <v>70</v>
      </c>
      <c r="H38" s="6" t="s">
        <v>330</v>
      </c>
      <c r="I38" s="6"/>
    </row>
    <row r="39" customFormat="false" ht="23.85" hidden="false" customHeight="false" outlineLevel="0" collapsed="false">
      <c r="A39" s="7" t="n">
        <v>27</v>
      </c>
      <c r="B39" s="6" t="s">
        <v>319</v>
      </c>
      <c r="C39" s="6" t="s">
        <v>331</v>
      </c>
      <c r="D39" s="6" t="s">
        <v>332</v>
      </c>
      <c r="E39" s="18" t="s">
        <v>11</v>
      </c>
      <c r="F39" s="7" t="n">
        <f aca="false">IFERROR(MATCH(E39,{"Low","Low-Moderate","Moderate","Moderate-High","High","Exceptional"},0),"")</f>
        <v>4</v>
      </c>
      <c r="G39" s="6" t="s">
        <v>66</v>
      </c>
      <c r="H39" s="6" t="s">
        <v>333</v>
      </c>
      <c r="I39" s="6"/>
    </row>
    <row r="40" customFormat="false" ht="23.85" hidden="false" customHeight="false" outlineLevel="0" collapsed="false">
      <c r="A40" s="7" t="n">
        <v>28</v>
      </c>
      <c r="B40" s="6" t="s">
        <v>319</v>
      </c>
      <c r="C40" s="6" t="s">
        <v>334</v>
      </c>
      <c r="D40" s="6" t="s">
        <v>279</v>
      </c>
      <c r="E40" s="18" t="s">
        <v>11</v>
      </c>
      <c r="F40" s="7" t="n">
        <f aca="false">IFERROR(MATCH(E40,{"Low","Low-Moderate","Moderate","Moderate-High","High","Exceptional"},0),"")</f>
        <v>4</v>
      </c>
      <c r="G40" s="6" t="s">
        <v>38</v>
      </c>
      <c r="H40" s="6" t="s">
        <v>335</v>
      </c>
      <c r="I40" s="6"/>
    </row>
    <row r="41" customFormat="false" ht="23.85" hidden="false" customHeight="false" outlineLevel="0" collapsed="false">
      <c r="A41" s="7" t="n">
        <v>29</v>
      </c>
      <c r="B41" s="6" t="s">
        <v>319</v>
      </c>
      <c r="C41" s="6" t="s">
        <v>336</v>
      </c>
      <c r="D41" s="6" t="s">
        <v>337</v>
      </c>
      <c r="E41" s="18" t="s">
        <v>11</v>
      </c>
      <c r="F41" s="7" t="n">
        <f aca="false">IFERROR(MATCH(E41,{"Low","Low-Moderate","Moderate","Moderate-High","High","Exceptional"},0),"")</f>
        <v>4</v>
      </c>
      <c r="G41" s="6" t="s">
        <v>38</v>
      </c>
      <c r="H41" s="6" t="s">
        <v>338</v>
      </c>
      <c r="I41" s="6"/>
    </row>
    <row r="43" customFormat="false" ht="15" hidden="false" customHeight="false" outlineLevel="0" collapsed="false">
      <c r="A43" s="2" t="s">
        <v>127</v>
      </c>
    </row>
  </sheetData>
  <autoFilter ref="A4:I41"/>
  <mergeCells count="8">
    <mergeCell ref="A5:I5"/>
    <mergeCell ref="A9:I9"/>
    <mergeCell ref="A12:I12"/>
    <mergeCell ref="A16:I16"/>
    <mergeCell ref="A20:I20"/>
    <mergeCell ref="A26:I26"/>
    <mergeCell ref="A32:I32"/>
    <mergeCell ref="A34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339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340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340</v>
      </c>
      <c r="C6" s="6" t="s">
        <v>341</v>
      </c>
      <c r="D6" s="6" t="s">
        <v>342</v>
      </c>
      <c r="E6" s="15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343</v>
      </c>
      <c r="I6" s="6"/>
    </row>
    <row r="7" customFormat="false" ht="23.85" hidden="false" customHeight="false" outlineLevel="0" collapsed="false">
      <c r="A7" s="7" t="n">
        <v>2</v>
      </c>
      <c r="B7" s="6" t="s">
        <v>340</v>
      </c>
      <c r="C7" s="6" t="s">
        <v>344</v>
      </c>
      <c r="D7" s="6" t="s">
        <v>345</v>
      </c>
      <c r="E7" s="15" t="s">
        <v>12</v>
      </c>
      <c r="F7" s="7" t="n">
        <f aca="false">IFERROR(MATCH(E7,{"Low","Low-Moderate","Moderate","Moderate-High","High","Exceptional"},0),"")</f>
        <v>3</v>
      </c>
      <c r="G7" s="6" t="s">
        <v>38</v>
      </c>
      <c r="H7" s="6" t="s">
        <v>343</v>
      </c>
      <c r="I7" s="6"/>
    </row>
    <row r="8" customFormat="false" ht="15" hidden="false" customHeight="false" outlineLevel="0" collapsed="false">
      <c r="A8" s="7" t="n">
        <v>3</v>
      </c>
      <c r="B8" s="6" t="s">
        <v>340</v>
      </c>
      <c r="C8" s="6" t="s">
        <v>346</v>
      </c>
      <c r="D8" s="6" t="s">
        <v>347</v>
      </c>
      <c r="E8" s="13" t="s">
        <v>14</v>
      </c>
      <c r="F8" s="7" t="n">
        <f aca="false">IFERROR(MATCH(E8,{"Low","Low-Moderate","Moderate","Moderate-High","High","Exceptional"},0),"")</f>
        <v>1</v>
      </c>
      <c r="G8" s="6" t="s">
        <v>38</v>
      </c>
      <c r="H8" s="6" t="s">
        <v>343</v>
      </c>
      <c r="I8" s="6"/>
    </row>
    <row r="9" customFormat="false" ht="23.85" hidden="false" customHeight="false" outlineLevel="0" collapsed="false">
      <c r="A9" s="7" t="n">
        <v>4</v>
      </c>
      <c r="B9" s="6" t="s">
        <v>340</v>
      </c>
      <c r="C9" s="6" t="s">
        <v>348</v>
      </c>
      <c r="D9" s="6" t="s">
        <v>349</v>
      </c>
      <c r="E9" s="13" t="s">
        <v>14</v>
      </c>
      <c r="F9" s="7" t="n">
        <f aca="false">IFERROR(MATCH(E9,{"Low","Low-Moderate","Moderate","Moderate-High","High","Exceptional"},0),"")</f>
        <v>1</v>
      </c>
      <c r="G9" s="6" t="s">
        <v>350</v>
      </c>
      <c r="H9" s="6" t="s">
        <v>343</v>
      </c>
      <c r="I9" s="6"/>
    </row>
    <row r="10" customFormat="false" ht="15" hidden="false" customHeight="false" outlineLevel="0" collapsed="false">
      <c r="A10" s="11" t="s">
        <v>351</v>
      </c>
      <c r="B10" s="11"/>
      <c r="C10" s="11"/>
      <c r="D10" s="11"/>
      <c r="E10" s="11"/>
      <c r="F10" s="11"/>
      <c r="G10" s="11"/>
      <c r="H10" s="11"/>
      <c r="I10" s="11"/>
    </row>
    <row r="11" customFormat="false" ht="23.85" hidden="false" customHeight="false" outlineLevel="0" collapsed="false">
      <c r="A11" s="7" t="n">
        <v>5</v>
      </c>
      <c r="B11" s="6" t="s">
        <v>351</v>
      </c>
      <c r="C11" s="6" t="s">
        <v>352</v>
      </c>
      <c r="D11" s="6" t="s">
        <v>353</v>
      </c>
      <c r="E11" s="15" t="s">
        <v>12</v>
      </c>
      <c r="F11" s="7" t="n">
        <f aca="false">IFERROR(MATCH(E11,{"Low","Low-Moderate","Moderate","Moderate-High","High","Exceptional"},0),"")</f>
        <v>3</v>
      </c>
      <c r="G11" s="6" t="s">
        <v>38</v>
      </c>
      <c r="H11" s="6" t="s">
        <v>354</v>
      </c>
      <c r="I11" s="6"/>
    </row>
    <row r="12" customFormat="false" ht="23.85" hidden="false" customHeight="false" outlineLevel="0" collapsed="false">
      <c r="A12" s="7" t="n">
        <v>6</v>
      </c>
      <c r="B12" s="6" t="s">
        <v>351</v>
      </c>
      <c r="C12" s="6" t="s">
        <v>355</v>
      </c>
      <c r="D12" s="14" t="s">
        <v>356</v>
      </c>
      <c r="E12" s="16" t="s">
        <v>13</v>
      </c>
      <c r="F12" s="7" t="n">
        <f aca="false">IFERROR(MATCH(E12,{"Low","Low-Moderate","Moderate","Moderate-High","High","Exceptional"},0),"")</f>
        <v>2</v>
      </c>
      <c r="G12" s="6" t="s">
        <v>350</v>
      </c>
      <c r="H12" s="6" t="s">
        <v>354</v>
      </c>
      <c r="I12" s="6" t="s">
        <v>357</v>
      </c>
    </row>
    <row r="13" customFormat="false" ht="23.85" hidden="false" customHeight="false" outlineLevel="0" collapsed="false">
      <c r="A13" s="7" t="n">
        <v>7</v>
      </c>
      <c r="B13" s="6" t="s">
        <v>351</v>
      </c>
      <c r="C13" s="6" t="s">
        <v>358</v>
      </c>
      <c r="D13" s="6" t="s">
        <v>359</v>
      </c>
      <c r="E13" s="16" t="s">
        <v>13</v>
      </c>
      <c r="F13" s="7" t="n">
        <f aca="false">IFERROR(MATCH(E13,{"Low","Low-Moderate","Moderate","Moderate-High","High","Exceptional"},0),"")</f>
        <v>2</v>
      </c>
      <c r="G13" s="6" t="s">
        <v>66</v>
      </c>
      <c r="H13" s="6" t="s">
        <v>354</v>
      </c>
      <c r="I13" s="6"/>
    </row>
    <row r="14" customFormat="false" ht="15" hidden="false" customHeight="false" outlineLevel="0" collapsed="false">
      <c r="A14" s="11" t="s">
        <v>360</v>
      </c>
      <c r="B14" s="11"/>
      <c r="C14" s="11"/>
      <c r="D14" s="11"/>
      <c r="E14" s="11"/>
      <c r="F14" s="11"/>
      <c r="G14" s="11"/>
      <c r="H14" s="11"/>
      <c r="I14" s="11"/>
    </row>
    <row r="15" customFormat="false" ht="23.85" hidden="false" customHeight="false" outlineLevel="0" collapsed="false">
      <c r="A15" s="7" t="n">
        <v>8</v>
      </c>
      <c r="B15" s="6" t="s">
        <v>360</v>
      </c>
      <c r="C15" s="6" t="s">
        <v>361</v>
      </c>
      <c r="D15" s="6" t="s">
        <v>362</v>
      </c>
      <c r="E15" s="16" t="s">
        <v>13</v>
      </c>
      <c r="F15" s="7" t="n">
        <f aca="false">IFERROR(MATCH(E15,{"Low","Low-Moderate","Moderate","Moderate-High","High","Exceptional"},0),"")</f>
        <v>2</v>
      </c>
      <c r="G15" s="6" t="s">
        <v>38</v>
      </c>
      <c r="H15" s="6" t="s">
        <v>363</v>
      </c>
      <c r="I15" s="6"/>
    </row>
    <row r="16" customFormat="false" ht="15" hidden="false" customHeight="false" outlineLevel="0" collapsed="false">
      <c r="A16" s="7" t="n">
        <v>9</v>
      </c>
      <c r="B16" s="6" t="s">
        <v>360</v>
      </c>
      <c r="C16" s="6" t="s">
        <v>364</v>
      </c>
      <c r="D16" s="6" t="s">
        <v>365</v>
      </c>
      <c r="E16" s="15" t="s">
        <v>12</v>
      </c>
      <c r="F16" s="7" t="n">
        <f aca="false">IFERROR(MATCH(E16,{"Low","Low-Moderate","Moderate","Moderate-High","High","Exceptional"},0),"")</f>
        <v>3</v>
      </c>
      <c r="G16" s="6" t="s">
        <v>38</v>
      </c>
      <c r="H16" s="6" t="s">
        <v>363</v>
      </c>
      <c r="I16" s="6"/>
    </row>
    <row r="17" customFormat="false" ht="15" hidden="false" customHeight="false" outlineLevel="0" collapsed="false">
      <c r="A17" s="7" t="n">
        <v>10</v>
      </c>
      <c r="B17" s="6" t="s">
        <v>360</v>
      </c>
      <c r="C17" s="6" t="s">
        <v>366</v>
      </c>
      <c r="D17" s="6" t="s">
        <v>367</v>
      </c>
      <c r="E17" s="16" t="s">
        <v>13</v>
      </c>
      <c r="F17" s="7" t="n">
        <f aca="false">IFERROR(MATCH(E17,{"Low","Low-Moderate","Moderate","Moderate-High","High","Exceptional"},0),"")</f>
        <v>2</v>
      </c>
      <c r="G17" s="6" t="s">
        <v>66</v>
      </c>
      <c r="H17" s="6" t="s">
        <v>363</v>
      </c>
      <c r="I17" s="6"/>
    </row>
    <row r="18" customFormat="false" ht="15" hidden="false" customHeight="false" outlineLevel="0" collapsed="false">
      <c r="A18" s="11" t="s">
        <v>368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368</v>
      </c>
      <c r="C19" s="6" t="s">
        <v>369</v>
      </c>
      <c r="D19" s="6" t="s">
        <v>62</v>
      </c>
      <c r="E19" s="17" t="s">
        <v>10</v>
      </c>
      <c r="F19" s="7" t="n">
        <f aca="false">IFERROR(MATCH(E19,{"Low","Low-Moderate","Moderate","Moderate-High","High","Exceptional"},0),"")</f>
        <v>5</v>
      </c>
      <c r="G19" s="6" t="s">
        <v>38</v>
      </c>
      <c r="H19" s="6" t="s">
        <v>370</v>
      </c>
      <c r="I19" s="6"/>
    </row>
    <row r="20" customFormat="false" ht="15" hidden="false" customHeight="false" outlineLevel="0" collapsed="false">
      <c r="A20" s="7" t="n">
        <v>12</v>
      </c>
      <c r="B20" s="6" t="s">
        <v>368</v>
      </c>
      <c r="C20" s="6" t="s">
        <v>371</v>
      </c>
      <c r="D20" s="6" t="s">
        <v>372</v>
      </c>
      <c r="E20" s="15" t="s">
        <v>12</v>
      </c>
      <c r="F20" s="7" t="n">
        <f aca="false">IFERROR(MATCH(E20,{"Low","Low-Moderate","Moderate","Moderate-High","High","Exceptional"},0),"")</f>
        <v>3</v>
      </c>
      <c r="G20" s="6" t="s">
        <v>38</v>
      </c>
      <c r="H20" s="6" t="s">
        <v>370</v>
      </c>
      <c r="I20" s="6"/>
    </row>
    <row r="21" customFormat="false" ht="15" hidden="false" customHeight="false" outlineLevel="0" collapsed="false">
      <c r="A21" s="7" t="n">
        <v>13</v>
      </c>
      <c r="B21" s="6" t="s">
        <v>368</v>
      </c>
      <c r="C21" s="6" t="s">
        <v>373</v>
      </c>
      <c r="D21" s="6" t="s">
        <v>374</v>
      </c>
      <c r="E21" s="18" t="s">
        <v>11</v>
      </c>
      <c r="F21" s="7" t="n">
        <f aca="false">IFERROR(MATCH(E21,{"Low","Low-Moderate","Moderate","Moderate-High","High","Exceptional"},0),"")</f>
        <v>4</v>
      </c>
      <c r="G21" s="6" t="s">
        <v>66</v>
      </c>
      <c r="H21" s="6" t="s">
        <v>370</v>
      </c>
      <c r="I21" s="6"/>
    </row>
    <row r="22" customFormat="false" ht="23.85" hidden="false" customHeight="false" outlineLevel="0" collapsed="false">
      <c r="A22" s="7" t="n">
        <v>14</v>
      </c>
      <c r="B22" s="6" t="s">
        <v>368</v>
      </c>
      <c r="C22" s="6" t="s">
        <v>375</v>
      </c>
      <c r="D22" s="6" t="s">
        <v>110</v>
      </c>
      <c r="E22" s="15" t="s">
        <v>12</v>
      </c>
      <c r="F22" s="7" t="n">
        <f aca="false">IFERROR(MATCH(E22,{"Low","Low-Moderate","Moderate","Moderate-High","High","Exceptional"},0),"")</f>
        <v>3</v>
      </c>
      <c r="G22" s="6" t="s">
        <v>38</v>
      </c>
      <c r="H22" s="6" t="s">
        <v>370</v>
      </c>
      <c r="I22" s="6"/>
    </row>
    <row r="23" customFormat="false" ht="15" hidden="false" customHeight="false" outlineLevel="0" collapsed="false">
      <c r="A23" s="7" t="n">
        <v>15</v>
      </c>
      <c r="B23" s="6" t="s">
        <v>368</v>
      </c>
      <c r="C23" s="6" t="s">
        <v>376</v>
      </c>
      <c r="D23" s="6" t="s">
        <v>377</v>
      </c>
      <c r="E23" s="17" t="s">
        <v>10</v>
      </c>
      <c r="F23" s="7" t="n">
        <f aca="false">IFERROR(MATCH(E23,{"Low","Low-Moderate","Moderate","Moderate-High","High","Exceptional"},0),"")</f>
        <v>5</v>
      </c>
      <c r="G23" s="6" t="s">
        <v>66</v>
      </c>
      <c r="H23" s="6" t="s">
        <v>370</v>
      </c>
      <c r="I23" s="6"/>
    </row>
    <row r="24" customFormat="false" ht="15" hidden="false" customHeight="false" outlineLevel="0" collapsed="false">
      <c r="A24" s="11" t="s">
        <v>378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16</v>
      </c>
      <c r="B25" s="6" t="s">
        <v>378</v>
      </c>
      <c r="C25" s="6" t="s">
        <v>379</v>
      </c>
      <c r="D25" s="6" t="s">
        <v>380</v>
      </c>
      <c r="E25" s="17" t="s">
        <v>10</v>
      </c>
      <c r="F25" s="7" t="n">
        <f aca="false">IFERROR(MATCH(E25,{"Low","Low-Moderate","Moderate","Moderate-High","High","Exceptional"},0),"")</f>
        <v>5</v>
      </c>
      <c r="G25" s="6" t="s">
        <v>80</v>
      </c>
      <c r="H25" s="6" t="s">
        <v>381</v>
      </c>
      <c r="I25" s="6"/>
    </row>
    <row r="26" customFormat="false" ht="23.85" hidden="false" customHeight="false" outlineLevel="0" collapsed="false">
      <c r="A26" s="7" t="n">
        <v>17</v>
      </c>
      <c r="B26" s="6" t="s">
        <v>378</v>
      </c>
      <c r="C26" s="6" t="s">
        <v>382</v>
      </c>
      <c r="D26" s="6" t="s">
        <v>383</v>
      </c>
      <c r="E26" s="15" t="s">
        <v>12</v>
      </c>
      <c r="F26" s="7" t="n">
        <f aca="false">IFERROR(MATCH(E26,{"Low","Low-Moderate","Moderate","Moderate-High","High","Exceptional"},0),"")</f>
        <v>3</v>
      </c>
      <c r="G26" s="6" t="s">
        <v>38</v>
      </c>
      <c r="H26" s="6" t="s">
        <v>381</v>
      </c>
      <c r="I26" s="6"/>
    </row>
    <row r="27" customFormat="false" ht="23.85" hidden="false" customHeight="false" outlineLevel="0" collapsed="false">
      <c r="A27" s="7" t="n">
        <v>18</v>
      </c>
      <c r="B27" s="6" t="s">
        <v>378</v>
      </c>
      <c r="C27" s="6" t="s">
        <v>384</v>
      </c>
      <c r="D27" s="6" t="s">
        <v>385</v>
      </c>
      <c r="E27" s="17" t="s">
        <v>10</v>
      </c>
      <c r="F27" s="7" t="n">
        <f aca="false">IFERROR(MATCH(E27,{"Low","Low-Moderate","Moderate","Moderate-High","High","Exceptional"},0),"")</f>
        <v>5</v>
      </c>
      <c r="G27" s="6" t="s">
        <v>38</v>
      </c>
      <c r="H27" s="6" t="s">
        <v>381</v>
      </c>
      <c r="I27" s="6"/>
    </row>
    <row r="28" customFormat="false" ht="23.85" hidden="false" customHeight="false" outlineLevel="0" collapsed="false">
      <c r="A28" s="7" t="n">
        <v>19</v>
      </c>
      <c r="B28" s="6" t="s">
        <v>378</v>
      </c>
      <c r="C28" s="6" t="s">
        <v>386</v>
      </c>
      <c r="D28" s="6" t="s">
        <v>263</v>
      </c>
      <c r="E28" s="17" t="s">
        <v>10</v>
      </c>
      <c r="F28" s="7" t="n">
        <f aca="false">IFERROR(MATCH(E28,{"Low","Low-Moderate","Moderate","Moderate-High","High","Exceptional"},0),"")</f>
        <v>5</v>
      </c>
      <c r="G28" s="6" t="s">
        <v>38</v>
      </c>
      <c r="H28" s="6" t="s">
        <v>381</v>
      </c>
      <c r="I28" s="6"/>
    </row>
    <row r="29" customFormat="false" ht="15" hidden="false" customHeight="false" outlineLevel="0" collapsed="false">
      <c r="A29" s="7" t="n">
        <v>20</v>
      </c>
      <c r="B29" s="6" t="s">
        <v>378</v>
      </c>
      <c r="C29" s="6" t="s">
        <v>387</v>
      </c>
      <c r="D29" s="6" t="s">
        <v>388</v>
      </c>
      <c r="E29" s="7" t="s">
        <v>389</v>
      </c>
      <c r="F29" s="7" t="str">
        <f aca="false">IFERROR(MATCH(E29,{"Low","Low-Moderate","Moderate","Moderate-High","High","Exceptional"},0),"")</f>
        <v/>
      </c>
      <c r="G29" s="6" t="s">
        <v>38</v>
      </c>
      <c r="H29" s="6" t="s">
        <v>381</v>
      </c>
      <c r="I29" s="6"/>
    </row>
    <row r="30" customFormat="false" ht="23.85" hidden="false" customHeight="false" outlineLevel="0" collapsed="false">
      <c r="A30" s="7" t="n">
        <v>21</v>
      </c>
      <c r="B30" s="6" t="s">
        <v>378</v>
      </c>
      <c r="C30" s="6" t="s">
        <v>390</v>
      </c>
      <c r="D30" s="6" t="s">
        <v>391</v>
      </c>
      <c r="E30" s="7" t="s">
        <v>389</v>
      </c>
      <c r="F30" s="7" t="str">
        <f aca="false">IFERROR(MATCH(E30,{"Low","Low-Moderate","Moderate","Moderate-High","High","Exceptional"},0),"")</f>
        <v/>
      </c>
      <c r="G30" s="6" t="s">
        <v>66</v>
      </c>
      <c r="H30" s="6" t="s">
        <v>381</v>
      </c>
      <c r="I30" s="6"/>
    </row>
    <row r="31" customFormat="false" ht="15" hidden="false" customHeight="false" outlineLevel="0" collapsed="false">
      <c r="A31" s="11" t="s">
        <v>392</v>
      </c>
      <c r="B31" s="11"/>
      <c r="C31" s="11"/>
      <c r="D31" s="11"/>
      <c r="E31" s="11"/>
      <c r="F31" s="11"/>
      <c r="G31" s="11"/>
      <c r="H31" s="11"/>
      <c r="I31" s="11"/>
    </row>
    <row r="32" customFormat="false" ht="23.85" hidden="false" customHeight="false" outlineLevel="0" collapsed="false">
      <c r="A32" s="7" t="n">
        <v>22</v>
      </c>
      <c r="B32" s="6" t="s">
        <v>392</v>
      </c>
      <c r="C32" s="6" t="s">
        <v>393</v>
      </c>
      <c r="D32" s="6" t="s">
        <v>394</v>
      </c>
      <c r="E32" s="12" t="s">
        <v>9</v>
      </c>
      <c r="F32" s="7" t="n">
        <f aca="false">IFERROR(MATCH(E32,{"Low","Low-Moderate","Moderate","Moderate-High","High","Exceptional"},0),"")</f>
        <v>6</v>
      </c>
      <c r="G32" s="6" t="s">
        <v>80</v>
      </c>
      <c r="H32" s="6" t="s">
        <v>395</v>
      </c>
      <c r="I32" s="6"/>
    </row>
    <row r="33" customFormat="false" ht="23.85" hidden="false" customHeight="false" outlineLevel="0" collapsed="false">
      <c r="A33" s="7" t="n">
        <v>23</v>
      </c>
      <c r="B33" s="6" t="s">
        <v>392</v>
      </c>
      <c r="C33" s="6" t="s">
        <v>396</v>
      </c>
      <c r="D33" s="6" t="s">
        <v>397</v>
      </c>
      <c r="E33" s="13" t="s">
        <v>14</v>
      </c>
      <c r="F33" s="7" t="n">
        <f aca="false">IFERROR(MATCH(E33,{"Low","Low-Moderate","Moderate","Moderate-High","High","Exceptional"},0),"")</f>
        <v>1</v>
      </c>
      <c r="G33" s="6" t="s">
        <v>80</v>
      </c>
      <c r="H33" s="6" t="s">
        <v>395</v>
      </c>
      <c r="I33" s="6"/>
    </row>
    <row r="34" customFormat="false" ht="23.85" hidden="false" customHeight="false" outlineLevel="0" collapsed="false">
      <c r="A34" s="7" t="n">
        <v>24</v>
      </c>
      <c r="B34" s="6" t="s">
        <v>392</v>
      </c>
      <c r="C34" s="6" t="s">
        <v>398</v>
      </c>
      <c r="D34" s="6" t="s">
        <v>399</v>
      </c>
      <c r="E34" s="17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395</v>
      </c>
      <c r="I34" s="6"/>
    </row>
    <row r="35" customFormat="false" ht="23.85" hidden="false" customHeight="false" outlineLevel="0" collapsed="false">
      <c r="A35" s="7" t="n">
        <v>25</v>
      </c>
      <c r="B35" s="6" t="s">
        <v>392</v>
      </c>
      <c r="C35" s="6" t="s">
        <v>400</v>
      </c>
      <c r="D35" s="6" t="s">
        <v>401</v>
      </c>
      <c r="E35" s="17" t="s">
        <v>10</v>
      </c>
      <c r="F35" s="7" t="n">
        <f aca="false">IFERROR(MATCH(E35,{"Low","Low-Moderate","Moderate","Moderate-High","High","Exceptional"},0),"")</f>
        <v>5</v>
      </c>
      <c r="G35" s="6" t="s">
        <v>80</v>
      </c>
      <c r="H35" s="6" t="s">
        <v>395</v>
      </c>
      <c r="I35" s="6"/>
    </row>
    <row r="36" customFormat="false" ht="23.85" hidden="false" customHeight="false" outlineLevel="0" collapsed="false">
      <c r="A36" s="7" t="n">
        <v>26</v>
      </c>
      <c r="B36" s="6" t="s">
        <v>392</v>
      </c>
      <c r="C36" s="6" t="s">
        <v>402</v>
      </c>
      <c r="D36" s="6" t="s">
        <v>403</v>
      </c>
      <c r="E36" s="17" t="s">
        <v>10</v>
      </c>
      <c r="F36" s="7" t="n">
        <f aca="false">IFERROR(MATCH(E36,{"Low","Low-Moderate","Moderate","Moderate-High","High","Exceptional"},0),"")</f>
        <v>5</v>
      </c>
      <c r="G36" s="6" t="s">
        <v>80</v>
      </c>
      <c r="H36" s="6" t="s">
        <v>395</v>
      </c>
      <c r="I36" s="6"/>
    </row>
    <row r="37" customFormat="false" ht="15" hidden="false" customHeight="false" outlineLevel="0" collapsed="false">
      <c r="A37" s="11" t="s">
        <v>404</v>
      </c>
      <c r="B37" s="11"/>
      <c r="C37" s="11"/>
      <c r="D37" s="11"/>
      <c r="E37" s="11"/>
      <c r="F37" s="11"/>
      <c r="G37" s="11"/>
      <c r="H37" s="11"/>
      <c r="I37" s="11"/>
    </row>
    <row r="38" customFormat="false" ht="23.85" hidden="false" customHeight="false" outlineLevel="0" collapsed="false">
      <c r="A38" s="7" t="n">
        <v>27</v>
      </c>
      <c r="B38" s="6" t="s">
        <v>404</v>
      </c>
      <c r="C38" s="6" t="s">
        <v>405</v>
      </c>
      <c r="D38" s="6" t="s">
        <v>406</v>
      </c>
      <c r="E38" s="15" t="s">
        <v>12</v>
      </c>
      <c r="F38" s="7" t="n">
        <f aca="false">IFERROR(MATCH(E38,{"Low","Low-Moderate","Moderate","Moderate-High","High","Exceptional"},0),"")</f>
        <v>3</v>
      </c>
      <c r="G38" s="6" t="s">
        <v>38</v>
      </c>
      <c r="H38" s="6" t="s">
        <v>407</v>
      </c>
      <c r="I38" s="6"/>
    </row>
    <row r="39" customFormat="false" ht="15" hidden="false" customHeight="false" outlineLevel="0" collapsed="false">
      <c r="A39" s="7" t="n">
        <v>28</v>
      </c>
      <c r="B39" s="6" t="s">
        <v>404</v>
      </c>
      <c r="C39" s="6" t="s">
        <v>408</v>
      </c>
      <c r="D39" s="6" t="s">
        <v>409</v>
      </c>
      <c r="E39" s="15" t="s">
        <v>12</v>
      </c>
      <c r="F39" s="7" t="n">
        <f aca="false">IFERROR(MATCH(E39,{"Low","Low-Moderate","Moderate","Moderate-High","High","Exceptional"},0),"")</f>
        <v>3</v>
      </c>
      <c r="G39" s="6" t="s">
        <v>38</v>
      </c>
      <c r="H39" s="6" t="s">
        <v>407</v>
      </c>
      <c r="I39" s="6"/>
    </row>
    <row r="40" customFormat="false" ht="23.85" hidden="false" customHeight="false" outlineLevel="0" collapsed="false">
      <c r="A40" s="7" t="n">
        <v>29</v>
      </c>
      <c r="B40" s="6" t="s">
        <v>404</v>
      </c>
      <c r="C40" s="6" t="s">
        <v>410</v>
      </c>
      <c r="D40" s="6" t="s">
        <v>411</v>
      </c>
      <c r="E40" s="18" t="s">
        <v>11</v>
      </c>
      <c r="F40" s="7" t="n">
        <f aca="false">IFERROR(MATCH(E40,{"Low","Low-Moderate","Moderate","Moderate-High","High","Exceptional"},0),"")</f>
        <v>4</v>
      </c>
      <c r="G40" s="6" t="s">
        <v>38</v>
      </c>
      <c r="H40" s="6" t="s">
        <v>407</v>
      </c>
      <c r="I40" s="6"/>
    </row>
    <row r="41" customFormat="false" ht="15" hidden="false" customHeight="false" outlineLevel="0" collapsed="false">
      <c r="A41" s="7" t="n">
        <v>30</v>
      </c>
      <c r="B41" s="6" t="s">
        <v>404</v>
      </c>
      <c r="C41" s="6" t="s">
        <v>412</v>
      </c>
      <c r="D41" s="6" t="s">
        <v>413</v>
      </c>
      <c r="E41" s="15" t="s">
        <v>12</v>
      </c>
      <c r="F41" s="7" t="n">
        <f aca="false">IFERROR(MATCH(E41,{"Low","Low-Moderate","Moderate","Moderate-High","High","Exceptional"},0),"")</f>
        <v>3</v>
      </c>
      <c r="G41" s="6" t="s">
        <v>38</v>
      </c>
      <c r="H41" s="6" t="s">
        <v>407</v>
      </c>
      <c r="I41" s="6"/>
    </row>
    <row r="42" customFormat="false" ht="15" hidden="false" customHeight="false" outlineLevel="0" collapsed="false">
      <c r="A42" s="7" t="n">
        <v>31</v>
      </c>
      <c r="B42" s="6" t="s">
        <v>404</v>
      </c>
      <c r="C42" s="6" t="s">
        <v>414</v>
      </c>
      <c r="D42" s="6" t="s">
        <v>415</v>
      </c>
      <c r="E42" s="13" t="s">
        <v>14</v>
      </c>
      <c r="F42" s="7" t="n">
        <f aca="false">IFERROR(MATCH(E42,{"Low","Low-Moderate","Moderate","Moderate-High","High","Exceptional"},0),"")</f>
        <v>1</v>
      </c>
      <c r="G42" s="6" t="s">
        <v>38</v>
      </c>
      <c r="H42" s="6" t="s">
        <v>407</v>
      </c>
      <c r="I42" s="6"/>
    </row>
    <row r="43" customFormat="false" ht="15" hidden="false" customHeight="false" outlineLevel="0" collapsed="false">
      <c r="A43" s="7" t="n">
        <v>32</v>
      </c>
      <c r="B43" s="6" t="s">
        <v>404</v>
      </c>
      <c r="C43" s="6" t="s">
        <v>416</v>
      </c>
      <c r="D43" s="6" t="s">
        <v>79</v>
      </c>
      <c r="E43" s="15" t="s">
        <v>12</v>
      </c>
      <c r="F43" s="7" t="n">
        <f aca="false">IFERROR(MATCH(E43,{"Low","Low-Moderate","Moderate","Moderate-High","High","Exceptional"},0),"")</f>
        <v>3</v>
      </c>
      <c r="G43" s="6" t="s">
        <v>38</v>
      </c>
      <c r="H43" s="6" t="s">
        <v>407</v>
      </c>
      <c r="I43" s="6"/>
    </row>
    <row r="45" customFormat="false" ht="15" hidden="false" customHeight="false" outlineLevel="0" collapsed="false">
      <c r="A45" s="2" t="s">
        <v>127</v>
      </c>
    </row>
  </sheetData>
  <autoFilter ref="A4:I43"/>
  <mergeCells count="7">
    <mergeCell ref="A5:I5"/>
    <mergeCell ref="A10:I10"/>
    <mergeCell ref="A14:I14"/>
    <mergeCell ref="A18:I18"/>
    <mergeCell ref="A24:I24"/>
    <mergeCell ref="A31:I31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417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418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418</v>
      </c>
      <c r="C6" s="6" t="s">
        <v>419</v>
      </c>
      <c r="D6" s="6" t="s">
        <v>420</v>
      </c>
      <c r="E6" s="17" t="s">
        <v>10</v>
      </c>
      <c r="F6" s="7" t="n">
        <f aca="false">IFERROR(MATCH(E6,{"Low","Low-Moderate","Moderate","Moderate-High","High","Exceptional"},0),"")</f>
        <v>5</v>
      </c>
      <c r="G6" s="6" t="s">
        <v>38</v>
      </c>
      <c r="H6" s="6" t="s">
        <v>421</v>
      </c>
      <c r="I6" s="6"/>
    </row>
    <row r="7" customFormat="false" ht="15" hidden="false" customHeight="false" outlineLevel="0" collapsed="false">
      <c r="A7" s="7" t="n">
        <v>2</v>
      </c>
      <c r="B7" s="6" t="s">
        <v>418</v>
      </c>
      <c r="C7" s="6" t="s">
        <v>422</v>
      </c>
      <c r="D7" s="6" t="s">
        <v>423</v>
      </c>
      <c r="E7" s="17" t="s">
        <v>10</v>
      </c>
      <c r="F7" s="7" t="n">
        <f aca="false">IFERROR(MATCH(E7,{"Low","Low-Moderate","Moderate","Moderate-High","High","Exceptional"},0),"")</f>
        <v>5</v>
      </c>
      <c r="G7" s="6" t="s">
        <v>80</v>
      </c>
      <c r="H7" s="6" t="s">
        <v>421</v>
      </c>
      <c r="I7" s="6" t="s">
        <v>424</v>
      </c>
    </row>
    <row r="8" customFormat="false" ht="15" hidden="false" customHeight="false" outlineLevel="0" collapsed="false">
      <c r="A8" s="7" t="n">
        <v>3</v>
      </c>
      <c r="B8" s="6" t="s">
        <v>418</v>
      </c>
      <c r="C8" s="6" t="s">
        <v>425</v>
      </c>
      <c r="D8" s="6" t="s">
        <v>279</v>
      </c>
      <c r="E8" s="17" t="s">
        <v>10</v>
      </c>
      <c r="F8" s="7" t="n">
        <f aca="false">IFERROR(MATCH(E8,{"Low","Low-Moderate","Moderate","Moderate-High","High","Exceptional"},0),"")</f>
        <v>5</v>
      </c>
      <c r="G8" s="6" t="s">
        <v>38</v>
      </c>
      <c r="H8" s="6" t="s">
        <v>421</v>
      </c>
      <c r="I8" s="6"/>
    </row>
    <row r="9" customFormat="false" ht="15" hidden="false" customHeight="false" outlineLevel="0" collapsed="false">
      <c r="A9" s="11" t="s">
        <v>426</v>
      </c>
      <c r="B9" s="11"/>
      <c r="C9" s="11"/>
      <c r="D9" s="11"/>
      <c r="E9" s="11"/>
      <c r="F9" s="11"/>
      <c r="G9" s="11"/>
      <c r="H9" s="11"/>
      <c r="I9" s="11"/>
    </row>
    <row r="10" customFormat="false" ht="15" hidden="false" customHeight="false" outlineLevel="0" collapsed="false">
      <c r="A10" s="7" t="n">
        <v>4</v>
      </c>
      <c r="B10" s="6" t="s">
        <v>426</v>
      </c>
      <c r="C10" s="6" t="s">
        <v>427</v>
      </c>
      <c r="D10" s="6" t="s">
        <v>307</v>
      </c>
      <c r="E10" s="17" t="s">
        <v>10</v>
      </c>
      <c r="F10" s="7" t="n">
        <f aca="false">IFERROR(MATCH(E10,{"Low","Low-Moderate","Moderate","Moderate-High","High","Exceptional"},0),"")</f>
        <v>5</v>
      </c>
      <c r="G10" s="6" t="s">
        <v>38</v>
      </c>
      <c r="H10" s="6" t="s">
        <v>428</v>
      </c>
      <c r="I10" s="6"/>
    </row>
    <row r="11" customFormat="false" ht="15" hidden="false" customHeight="false" outlineLevel="0" collapsed="false">
      <c r="A11" s="7" t="n">
        <v>5</v>
      </c>
      <c r="B11" s="6" t="s">
        <v>426</v>
      </c>
      <c r="C11" s="6" t="s">
        <v>429</v>
      </c>
      <c r="D11" s="14" t="s">
        <v>430</v>
      </c>
      <c r="E11" s="16" t="s">
        <v>13</v>
      </c>
      <c r="F11" s="7" t="n">
        <f aca="false">IFERROR(MATCH(E11,{"Low","Low-Moderate","Moderate","Moderate-High","High","Exceptional"},0),"")</f>
        <v>2</v>
      </c>
      <c r="G11" s="6" t="s">
        <v>350</v>
      </c>
      <c r="H11" s="6" t="s">
        <v>428</v>
      </c>
      <c r="I11" s="6" t="s">
        <v>357</v>
      </c>
    </row>
    <row r="12" customFormat="false" ht="23.85" hidden="false" customHeight="false" outlineLevel="0" collapsed="false">
      <c r="A12" s="7" t="n">
        <v>6</v>
      </c>
      <c r="B12" s="6" t="s">
        <v>426</v>
      </c>
      <c r="C12" s="6" t="s">
        <v>431</v>
      </c>
      <c r="D12" s="6" t="s">
        <v>432</v>
      </c>
      <c r="E12" s="17" t="s">
        <v>10</v>
      </c>
      <c r="F12" s="7" t="n">
        <f aca="false">IFERROR(MATCH(E12,{"Low","Low-Moderate","Moderate","Moderate-High","High","Exceptional"},0),"")</f>
        <v>5</v>
      </c>
      <c r="G12" s="6" t="s">
        <v>66</v>
      </c>
      <c r="H12" s="6" t="s">
        <v>428</v>
      </c>
      <c r="I12" s="6" t="s">
        <v>433</v>
      </c>
    </row>
    <row r="13" customFormat="false" ht="15" hidden="false" customHeight="false" outlineLevel="0" collapsed="false">
      <c r="A13" s="11" t="s">
        <v>434</v>
      </c>
      <c r="B13" s="11"/>
      <c r="C13" s="11"/>
      <c r="D13" s="11"/>
      <c r="E13" s="11"/>
      <c r="F13" s="11"/>
      <c r="G13" s="11"/>
      <c r="H13" s="11"/>
      <c r="I13" s="11"/>
    </row>
    <row r="14" customFormat="false" ht="23.85" hidden="false" customHeight="false" outlineLevel="0" collapsed="false">
      <c r="A14" s="7" t="n">
        <v>7</v>
      </c>
      <c r="B14" s="6" t="s">
        <v>434</v>
      </c>
      <c r="C14" s="6" t="s">
        <v>435</v>
      </c>
      <c r="D14" s="14" t="s">
        <v>101</v>
      </c>
      <c r="E14" s="12" t="s">
        <v>9</v>
      </c>
      <c r="F14" s="7" t="n">
        <f aca="false">IFERROR(MATCH(E14,{"Low","Low-Moderate","Moderate","Moderate-High","High","Exceptional"},0),"")</f>
        <v>6</v>
      </c>
      <c r="G14" s="6" t="s">
        <v>38</v>
      </c>
      <c r="H14" s="6" t="s">
        <v>436</v>
      </c>
      <c r="I14" s="6" t="s">
        <v>437</v>
      </c>
    </row>
    <row r="15" customFormat="false" ht="15" hidden="false" customHeight="false" outlineLevel="0" collapsed="false">
      <c r="A15" s="7" t="n">
        <v>8</v>
      </c>
      <c r="B15" s="6" t="s">
        <v>434</v>
      </c>
      <c r="C15" s="6" t="s">
        <v>438</v>
      </c>
      <c r="D15" s="6" t="s">
        <v>439</v>
      </c>
      <c r="E15" s="17" t="s">
        <v>10</v>
      </c>
      <c r="F15" s="7" t="n">
        <f aca="false">IFERROR(MATCH(E15,{"Low","Low-Moderate","Moderate","Moderate-High","High","Exceptional"},0),"")</f>
        <v>5</v>
      </c>
      <c r="G15" s="6" t="s">
        <v>80</v>
      </c>
      <c r="H15" s="6" t="s">
        <v>436</v>
      </c>
      <c r="I15" s="6"/>
    </row>
    <row r="16" customFormat="false" ht="15" hidden="false" customHeight="false" outlineLevel="0" collapsed="false">
      <c r="A16" s="7" t="n">
        <v>9</v>
      </c>
      <c r="B16" s="6" t="s">
        <v>434</v>
      </c>
      <c r="C16" s="6" t="s">
        <v>440</v>
      </c>
      <c r="D16" s="6" t="s">
        <v>441</v>
      </c>
      <c r="E16" s="7" t="s">
        <v>389</v>
      </c>
      <c r="F16" s="7" t="str">
        <f aca="false">IFERROR(MATCH(E16,{"Low","Low-Moderate","Moderate","Moderate-High","High","Exceptional"},0),"")</f>
        <v/>
      </c>
      <c r="G16" s="6" t="s">
        <v>80</v>
      </c>
      <c r="H16" s="6" t="s">
        <v>436</v>
      </c>
      <c r="I16" s="6"/>
    </row>
    <row r="17" customFormat="false" ht="15" hidden="false" customHeight="false" outlineLevel="0" collapsed="false">
      <c r="A17" s="7" t="n">
        <v>10</v>
      </c>
      <c r="B17" s="6" t="s">
        <v>434</v>
      </c>
      <c r="C17" s="6" t="s">
        <v>442</v>
      </c>
      <c r="D17" s="6" t="s">
        <v>443</v>
      </c>
      <c r="E17" s="17" t="s">
        <v>10</v>
      </c>
      <c r="F17" s="7" t="n">
        <f aca="false">IFERROR(MATCH(E17,{"Low","Low-Moderate","Moderate","Moderate-High","High","Exceptional"},0),"")</f>
        <v>5</v>
      </c>
      <c r="G17" s="6" t="s">
        <v>70</v>
      </c>
      <c r="H17" s="6" t="s">
        <v>436</v>
      </c>
      <c r="I17" s="6"/>
    </row>
    <row r="18" customFormat="false" ht="15" hidden="false" customHeight="false" outlineLevel="0" collapsed="false">
      <c r="A18" s="11" t="s">
        <v>444</v>
      </c>
      <c r="B18" s="11"/>
      <c r="C18" s="11"/>
      <c r="D18" s="11"/>
      <c r="E18" s="11"/>
      <c r="F18" s="11"/>
      <c r="G18" s="11"/>
      <c r="H18" s="11"/>
      <c r="I18" s="11"/>
    </row>
    <row r="19" customFormat="false" ht="15" hidden="false" customHeight="false" outlineLevel="0" collapsed="false">
      <c r="A19" s="7" t="n">
        <v>11</v>
      </c>
      <c r="B19" s="6" t="s">
        <v>444</v>
      </c>
      <c r="C19" s="6" t="s">
        <v>445</v>
      </c>
      <c r="D19" s="6" t="s">
        <v>446</v>
      </c>
      <c r="E19" s="15" t="s">
        <v>12</v>
      </c>
      <c r="F19" s="7" t="n">
        <f aca="false">IFERROR(MATCH(E19,{"Low","Low-Moderate","Moderate","Moderate-High","High","Exceptional"},0),"")</f>
        <v>3</v>
      </c>
      <c r="G19" s="6" t="s">
        <v>70</v>
      </c>
      <c r="H19" s="6" t="s">
        <v>447</v>
      </c>
      <c r="I19" s="6"/>
    </row>
    <row r="20" customFormat="false" ht="15" hidden="false" customHeight="false" outlineLevel="0" collapsed="false">
      <c r="A20" s="7" t="n">
        <v>12</v>
      </c>
      <c r="B20" s="6" t="s">
        <v>444</v>
      </c>
      <c r="C20" s="6" t="s">
        <v>448</v>
      </c>
      <c r="D20" s="6" t="s">
        <v>449</v>
      </c>
      <c r="E20" s="18" t="s">
        <v>11</v>
      </c>
      <c r="F20" s="7" t="n">
        <f aca="false">IFERROR(MATCH(E20,{"Low","Low-Moderate","Moderate","Moderate-High","High","Exceptional"},0),"")</f>
        <v>4</v>
      </c>
      <c r="G20" s="6" t="s">
        <v>38</v>
      </c>
      <c r="H20" s="6" t="s">
        <v>447</v>
      </c>
      <c r="I20" s="6"/>
    </row>
    <row r="21" customFormat="false" ht="15" hidden="false" customHeight="false" outlineLevel="0" collapsed="false">
      <c r="A21" s="11" t="s">
        <v>450</v>
      </c>
      <c r="B21" s="11"/>
      <c r="C21" s="11"/>
      <c r="D21" s="11"/>
      <c r="E21" s="11"/>
      <c r="F21" s="11"/>
      <c r="G21" s="11"/>
      <c r="H21" s="11"/>
      <c r="I21" s="11"/>
    </row>
    <row r="22" customFormat="false" ht="15" hidden="false" customHeight="false" outlineLevel="0" collapsed="false">
      <c r="A22" s="7" t="n">
        <v>13</v>
      </c>
      <c r="B22" s="6" t="s">
        <v>450</v>
      </c>
      <c r="C22" s="6" t="s">
        <v>451</v>
      </c>
      <c r="D22" s="6" t="s">
        <v>452</v>
      </c>
      <c r="E22" s="17" t="s">
        <v>10</v>
      </c>
      <c r="F22" s="7" t="n">
        <f aca="false">IFERROR(MATCH(E22,{"Low","Low-Moderate","Moderate","Moderate-High","High","Exceptional"},0),"")</f>
        <v>5</v>
      </c>
      <c r="G22" s="6" t="s">
        <v>38</v>
      </c>
      <c r="H22" s="6" t="s">
        <v>453</v>
      </c>
      <c r="I22" s="6"/>
    </row>
    <row r="23" customFormat="false" ht="15" hidden="false" customHeight="false" outlineLevel="0" collapsed="false">
      <c r="A23" s="7" t="n">
        <v>14</v>
      </c>
      <c r="B23" s="6" t="s">
        <v>450</v>
      </c>
      <c r="C23" s="6" t="s">
        <v>454</v>
      </c>
      <c r="D23" s="6" t="s">
        <v>455</v>
      </c>
      <c r="E23" s="17" t="s">
        <v>10</v>
      </c>
      <c r="F23" s="7" t="n">
        <f aca="false">IFERROR(MATCH(E23,{"Low","Low-Moderate","Moderate","Moderate-High","High","Exceptional"},0),"")</f>
        <v>5</v>
      </c>
      <c r="G23" s="6" t="s">
        <v>66</v>
      </c>
      <c r="H23" s="6" t="s">
        <v>453</v>
      </c>
      <c r="I23" s="6"/>
    </row>
    <row r="24" customFormat="false" ht="15" hidden="false" customHeight="false" outlineLevel="0" collapsed="false">
      <c r="A24" s="11" t="s">
        <v>456</v>
      </c>
      <c r="B24" s="11"/>
      <c r="C24" s="11"/>
      <c r="D24" s="11"/>
      <c r="E24" s="11"/>
      <c r="F24" s="11"/>
      <c r="G24" s="11"/>
      <c r="H24" s="11"/>
      <c r="I24" s="11"/>
    </row>
    <row r="25" customFormat="false" ht="15" hidden="false" customHeight="false" outlineLevel="0" collapsed="false">
      <c r="A25" s="7" t="n">
        <v>15</v>
      </c>
      <c r="B25" s="6" t="s">
        <v>456</v>
      </c>
      <c r="C25" s="6" t="s">
        <v>457</v>
      </c>
      <c r="D25" s="6" t="s">
        <v>458</v>
      </c>
      <c r="E25" s="17" t="s">
        <v>10</v>
      </c>
      <c r="F25" s="7" t="n">
        <f aca="false">IFERROR(MATCH(E25,{"Low","Low-Moderate","Moderate","Moderate-High","High","Exceptional"},0),"")</f>
        <v>5</v>
      </c>
      <c r="G25" s="6" t="s">
        <v>38</v>
      </c>
      <c r="H25" s="6" t="s">
        <v>459</v>
      </c>
      <c r="I25" s="6"/>
    </row>
    <row r="26" customFormat="false" ht="23.85" hidden="false" customHeight="false" outlineLevel="0" collapsed="false">
      <c r="A26" s="7" t="n">
        <v>16</v>
      </c>
      <c r="B26" s="6" t="s">
        <v>456</v>
      </c>
      <c r="C26" s="6" t="s">
        <v>460</v>
      </c>
      <c r="D26" s="6" t="s">
        <v>461</v>
      </c>
      <c r="E26" s="17" t="s">
        <v>10</v>
      </c>
      <c r="F26" s="7" t="n">
        <f aca="false">IFERROR(MATCH(E26,{"Low","Low-Moderate","Moderate","Moderate-High","High","Exceptional"},0),"")</f>
        <v>5</v>
      </c>
      <c r="G26" s="6" t="s">
        <v>38</v>
      </c>
      <c r="H26" s="6" t="s">
        <v>459</v>
      </c>
      <c r="I26" s="6"/>
    </row>
    <row r="27" customFormat="false" ht="15" hidden="false" customHeight="false" outlineLevel="0" collapsed="false">
      <c r="A27" s="11" t="s">
        <v>462</v>
      </c>
      <c r="B27" s="11"/>
      <c r="C27" s="11"/>
      <c r="D27" s="11"/>
      <c r="E27" s="11"/>
      <c r="F27" s="11"/>
      <c r="G27" s="11"/>
      <c r="H27" s="11"/>
      <c r="I27" s="11"/>
    </row>
    <row r="28" customFormat="false" ht="15" hidden="false" customHeight="false" outlineLevel="0" collapsed="false">
      <c r="A28" s="7" t="n">
        <v>17</v>
      </c>
      <c r="B28" s="6" t="s">
        <v>462</v>
      </c>
      <c r="C28" s="6" t="s">
        <v>463</v>
      </c>
      <c r="D28" s="6" t="s">
        <v>110</v>
      </c>
      <c r="E28" s="15" t="s">
        <v>12</v>
      </c>
      <c r="F28" s="7" t="n">
        <f aca="false">IFERROR(MATCH(E28,{"Low","Low-Moderate","Moderate","Moderate-High","High","Exceptional"},0),"")</f>
        <v>3</v>
      </c>
      <c r="G28" s="6" t="s">
        <v>38</v>
      </c>
      <c r="H28" s="6" t="s">
        <v>464</v>
      </c>
      <c r="I28" s="6"/>
    </row>
    <row r="29" customFormat="false" ht="15" hidden="false" customHeight="false" outlineLevel="0" collapsed="false">
      <c r="A29" s="7" t="n">
        <v>18</v>
      </c>
      <c r="B29" s="6" t="s">
        <v>462</v>
      </c>
      <c r="C29" s="6" t="s">
        <v>465</v>
      </c>
      <c r="D29" s="6" t="s">
        <v>153</v>
      </c>
      <c r="E29" s="15" t="s">
        <v>12</v>
      </c>
      <c r="F29" s="7" t="n">
        <f aca="false">IFERROR(MATCH(E29,{"Low","Low-Moderate","Moderate","Moderate-High","High","Exceptional"},0),"")</f>
        <v>3</v>
      </c>
      <c r="G29" s="6" t="s">
        <v>38</v>
      </c>
      <c r="H29" s="6" t="s">
        <v>464</v>
      </c>
      <c r="I29" s="6"/>
    </row>
    <row r="30" customFormat="false" ht="15" hidden="false" customHeight="false" outlineLevel="0" collapsed="false">
      <c r="A30" s="7" t="n">
        <v>19</v>
      </c>
      <c r="B30" s="6" t="s">
        <v>462</v>
      </c>
      <c r="C30" s="6" t="s">
        <v>466</v>
      </c>
      <c r="D30" s="6" t="s">
        <v>467</v>
      </c>
      <c r="E30" s="17" t="s">
        <v>10</v>
      </c>
      <c r="F30" s="7" t="n">
        <f aca="false">IFERROR(MATCH(E30,{"Low","Low-Moderate","Moderate","Moderate-High","High","Exceptional"},0),"")</f>
        <v>5</v>
      </c>
      <c r="G30" s="6" t="s">
        <v>66</v>
      </c>
      <c r="H30" s="6" t="s">
        <v>464</v>
      </c>
      <c r="I30" s="6"/>
    </row>
    <row r="31" customFormat="false" ht="15" hidden="false" customHeight="false" outlineLevel="0" collapsed="false">
      <c r="A31" s="11" t="s">
        <v>468</v>
      </c>
      <c r="B31" s="11"/>
      <c r="C31" s="11"/>
      <c r="D31" s="11"/>
      <c r="E31" s="11"/>
      <c r="F31" s="11"/>
      <c r="G31" s="11"/>
      <c r="H31" s="11"/>
      <c r="I31" s="11"/>
    </row>
    <row r="32" customFormat="false" ht="15" hidden="false" customHeight="false" outlineLevel="0" collapsed="false">
      <c r="A32" s="7" t="n">
        <v>20</v>
      </c>
      <c r="B32" s="6" t="s">
        <v>468</v>
      </c>
      <c r="C32" s="6" t="s">
        <v>469</v>
      </c>
      <c r="D32" s="6" t="s">
        <v>470</v>
      </c>
      <c r="E32" s="17" t="s">
        <v>10</v>
      </c>
      <c r="F32" s="7" t="n">
        <f aca="false">IFERROR(MATCH(E32,{"Low","Low-Moderate","Moderate","Moderate-High","High","Exceptional"},0),"")</f>
        <v>5</v>
      </c>
      <c r="G32" s="6" t="s">
        <v>38</v>
      </c>
      <c r="H32" s="6" t="s">
        <v>471</v>
      </c>
      <c r="I32" s="6"/>
    </row>
    <row r="33" customFormat="false" ht="15" hidden="false" customHeight="false" outlineLevel="0" collapsed="false">
      <c r="A33" s="7" t="n">
        <v>21</v>
      </c>
      <c r="B33" s="6" t="s">
        <v>468</v>
      </c>
      <c r="C33" s="6" t="s">
        <v>472</v>
      </c>
      <c r="D33" s="6" t="s">
        <v>279</v>
      </c>
      <c r="E33" s="17" t="s">
        <v>10</v>
      </c>
      <c r="F33" s="7" t="n">
        <f aca="false">IFERROR(MATCH(E33,{"Low","Low-Moderate","Moderate","Moderate-High","High","Exceptional"},0),"")</f>
        <v>5</v>
      </c>
      <c r="G33" s="6" t="s">
        <v>38</v>
      </c>
      <c r="H33" s="6" t="s">
        <v>471</v>
      </c>
      <c r="I33" s="6"/>
    </row>
    <row r="34" customFormat="false" ht="15" hidden="false" customHeight="false" outlineLevel="0" collapsed="false">
      <c r="A34" s="7" t="n">
        <v>22</v>
      </c>
      <c r="B34" s="6" t="s">
        <v>468</v>
      </c>
      <c r="C34" s="6" t="s">
        <v>473</v>
      </c>
      <c r="D34" s="6" t="s">
        <v>474</v>
      </c>
      <c r="E34" s="17" t="s">
        <v>10</v>
      </c>
      <c r="F34" s="7" t="n">
        <f aca="false">IFERROR(MATCH(E34,{"Low","Low-Moderate","Moderate","Moderate-High","High","Exceptional"},0),"")</f>
        <v>5</v>
      </c>
      <c r="G34" s="6" t="s">
        <v>38</v>
      </c>
      <c r="H34" s="6" t="s">
        <v>471</v>
      </c>
      <c r="I34" s="6"/>
    </row>
    <row r="35" customFormat="false" ht="15" hidden="false" customHeight="false" outlineLevel="0" collapsed="false">
      <c r="A35" s="7" t="n">
        <v>23</v>
      </c>
      <c r="B35" s="6" t="s">
        <v>468</v>
      </c>
      <c r="C35" s="6" t="s">
        <v>475</v>
      </c>
      <c r="D35" s="6" t="s">
        <v>476</v>
      </c>
      <c r="E35" s="17" t="s">
        <v>10</v>
      </c>
      <c r="F35" s="7" t="n">
        <f aca="false">IFERROR(MATCH(E35,{"Low","Low-Moderate","Moderate","Moderate-High","High","Exceptional"},0),"")</f>
        <v>5</v>
      </c>
      <c r="G35" s="6" t="s">
        <v>38</v>
      </c>
      <c r="H35" s="6" t="s">
        <v>471</v>
      </c>
      <c r="I35" s="6"/>
    </row>
    <row r="36" customFormat="false" ht="15" hidden="false" customHeight="false" outlineLevel="0" collapsed="false">
      <c r="A36" s="11" t="s">
        <v>477</v>
      </c>
      <c r="B36" s="11"/>
      <c r="C36" s="11"/>
      <c r="D36" s="11"/>
      <c r="E36" s="11"/>
      <c r="F36" s="11"/>
      <c r="G36" s="11"/>
      <c r="H36" s="11"/>
      <c r="I36" s="11"/>
    </row>
    <row r="37" customFormat="false" ht="15" hidden="false" customHeight="false" outlineLevel="0" collapsed="false">
      <c r="A37" s="7" t="n">
        <v>24</v>
      </c>
      <c r="B37" s="6" t="s">
        <v>477</v>
      </c>
      <c r="C37" s="6" t="s">
        <v>478</v>
      </c>
      <c r="D37" s="6" t="s">
        <v>479</v>
      </c>
      <c r="E37" s="18" t="s">
        <v>11</v>
      </c>
      <c r="F37" s="7" t="n">
        <f aca="false">IFERROR(MATCH(E37,{"Low","Low-Moderate","Moderate","Moderate-High","High","Exceptional"},0),"")</f>
        <v>4</v>
      </c>
      <c r="G37" s="6" t="s">
        <v>66</v>
      </c>
      <c r="H37" s="6" t="s">
        <v>480</v>
      </c>
      <c r="I37" s="6"/>
    </row>
    <row r="38" customFormat="false" ht="15" hidden="false" customHeight="false" outlineLevel="0" collapsed="false">
      <c r="A38" s="7" t="n">
        <v>25</v>
      </c>
      <c r="B38" s="6" t="s">
        <v>477</v>
      </c>
      <c r="C38" s="6" t="s">
        <v>481</v>
      </c>
      <c r="D38" s="6" t="s">
        <v>165</v>
      </c>
      <c r="E38" s="17" t="s">
        <v>10</v>
      </c>
      <c r="F38" s="7" t="n">
        <f aca="false">IFERROR(MATCH(E38,{"Low","Low-Moderate","Moderate","Moderate-High","High","Exceptional"},0),"")</f>
        <v>5</v>
      </c>
      <c r="G38" s="6" t="s">
        <v>38</v>
      </c>
      <c r="H38" s="6" t="s">
        <v>480</v>
      </c>
      <c r="I38" s="6"/>
    </row>
    <row r="39" customFormat="false" ht="15" hidden="false" customHeight="false" outlineLevel="0" collapsed="false">
      <c r="A39" s="7" t="n">
        <v>26</v>
      </c>
      <c r="B39" s="6" t="s">
        <v>477</v>
      </c>
      <c r="C39" s="6" t="s">
        <v>482</v>
      </c>
      <c r="D39" s="6" t="s">
        <v>263</v>
      </c>
      <c r="E39" s="7" t="s">
        <v>389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480</v>
      </c>
      <c r="I39" s="6"/>
    </row>
    <row r="40" customFormat="false" ht="15" hidden="false" customHeight="false" outlineLevel="0" collapsed="false">
      <c r="A40" s="7" t="n">
        <v>27</v>
      </c>
      <c r="B40" s="6" t="s">
        <v>477</v>
      </c>
      <c r="C40" s="6" t="s">
        <v>483</v>
      </c>
      <c r="D40" s="6" t="s">
        <v>484</v>
      </c>
      <c r="E40" s="7" t="s">
        <v>389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480</v>
      </c>
      <c r="I40" s="6"/>
    </row>
    <row r="41" customFormat="false" ht="15" hidden="false" customHeight="false" outlineLevel="0" collapsed="false">
      <c r="A41" s="7" t="n">
        <v>28</v>
      </c>
      <c r="B41" s="6" t="s">
        <v>477</v>
      </c>
      <c r="C41" s="6" t="s">
        <v>485</v>
      </c>
      <c r="D41" s="6" t="s">
        <v>486</v>
      </c>
      <c r="E41" s="7" t="s">
        <v>389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480</v>
      </c>
      <c r="I41" s="6"/>
    </row>
    <row r="42" customFormat="false" ht="15" hidden="false" customHeight="false" outlineLevel="0" collapsed="false">
      <c r="A42" s="7" t="n">
        <v>29</v>
      </c>
      <c r="B42" s="6" t="s">
        <v>477</v>
      </c>
      <c r="C42" s="6" t="s">
        <v>487</v>
      </c>
      <c r="D42" s="6" t="s">
        <v>488</v>
      </c>
      <c r="E42" s="7" t="s">
        <v>389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480</v>
      </c>
      <c r="I42" s="6"/>
    </row>
    <row r="43" customFormat="false" ht="15" hidden="false" customHeight="false" outlineLevel="0" collapsed="false">
      <c r="A43" s="7" t="n">
        <v>30</v>
      </c>
      <c r="B43" s="6" t="s">
        <v>477</v>
      </c>
      <c r="C43" s="6" t="s">
        <v>489</v>
      </c>
      <c r="D43" s="6" t="s">
        <v>490</v>
      </c>
      <c r="E43" s="17" t="s">
        <v>10</v>
      </c>
      <c r="F43" s="7" t="n">
        <f aca="false">IFERROR(MATCH(E43,{"Low","Low-Moderate","Moderate","Moderate-High","High","Exceptional"},0),"")</f>
        <v>5</v>
      </c>
      <c r="G43" s="6" t="s">
        <v>38</v>
      </c>
      <c r="H43" s="6" t="s">
        <v>480</v>
      </c>
      <c r="I43" s="6"/>
    </row>
    <row r="44" customFormat="false" ht="15" hidden="false" customHeight="false" outlineLevel="0" collapsed="false">
      <c r="A44" s="11" t="s">
        <v>491</v>
      </c>
      <c r="B44" s="11"/>
      <c r="C44" s="11"/>
      <c r="D44" s="11"/>
      <c r="E44" s="11"/>
      <c r="F44" s="11"/>
      <c r="G44" s="11"/>
      <c r="H44" s="11"/>
      <c r="I44" s="11"/>
    </row>
    <row r="45" customFormat="false" ht="15" hidden="false" customHeight="false" outlineLevel="0" collapsed="false">
      <c r="A45" s="7" t="n">
        <v>31</v>
      </c>
      <c r="B45" s="6" t="s">
        <v>491</v>
      </c>
      <c r="C45" s="6" t="s">
        <v>492</v>
      </c>
      <c r="D45" s="6" t="s">
        <v>493</v>
      </c>
      <c r="E45" s="15" t="s">
        <v>12</v>
      </c>
      <c r="F45" s="7" t="n">
        <f aca="false">IFERROR(MATCH(E45,{"Low","Low-Moderate","Moderate","Moderate-High","High","Exceptional"},0),"")</f>
        <v>3</v>
      </c>
      <c r="G45" s="6" t="s">
        <v>38</v>
      </c>
      <c r="H45" s="6" t="s">
        <v>494</v>
      </c>
      <c r="I45" s="6"/>
    </row>
    <row r="46" customFormat="false" ht="15" hidden="false" customHeight="false" outlineLevel="0" collapsed="false">
      <c r="A46" s="11" t="s">
        <v>495</v>
      </c>
      <c r="B46" s="11"/>
      <c r="C46" s="11"/>
      <c r="D46" s="11"/>
      <c r="E46" s="11"/>
      <c r="F46" s="11"/>
      <c r="G46" s="11"/>
      <c r="H46" s="11"/>
      <c r="I46" s="11"/>
    </row>
    <row r="47" customFormat="false" ht="15" hidden="false" customHeight="false" outlineLevel="0" collapsed="false">
      <c r="A47" s="7" t="n">
        <v>32</v>
      </c>
      <c r="B47" s="6" t="s">
        <v>495</v>
      </c>
      <c r="C47" s="6" t="s">
        <v>496</v>
      </c>
      <c r="D47" s="6" t="s">
        <v>497</v>
      </c>
      <c r="E47" s="17" t="s">
        <v>10</v>
      </c>
      <c r="F47" s="7" t="n">
        <f aca="false">IFERROR(MATCH(E47,{"Low","Low-Moderate","Moderate","Moderate-High","High","Exceptional"},0),"")</f>
        <v>5</v>
      </c>
      <c r="G47" s="6" t="s">
        <v>38</v>
      </c>
      <c r="H47" s="6" t="s">
        <v>498</v>
      </c>
      <c r="I47" s="6"/>
    </row>
    <row r="48" customFormat="false" ht="15" hidden="false" customHeight="false" outlineLevel="0" collapsed="false">
      <c r="A48" s="7" t="n">
        <v>33</v>
      </c>
      <c r="B48" s="6" t="s">
        <v>495</v>
      </c>
      <c r="C48" s="6" t="s">
        <v>499</v>
      </c>
      <c r="D48" s="6" t="s">
        <v>500</v>
      </c>
      <c r="E48" s="15" t="s">
        <v>12</v>
      </c>
      <c r="F48" s="7" t="n">
        <f aca="false">IFERROR(MATCH(E48,{"Low","Low-Moderate","Moderate","Moderate-High","High","Exceptional"},0),"")</f>
        <v>3</v>
      </c>
      <c r="G48" s="6" t="s">
        <v>38</v>
      </c>
      <c r="H48" s="6" t="s">
        <v>498</v>
      </c>
      <c r="I48" s="6"/>
    </row>
    <row r="49" customFormat="false" ht="15" hidden="false" customHeight="false" outlineLevel="0" collapsed="false">
      <c r="A49" s="7" t="n">
        <v>34</v>
      </c>
      <c r="B49" s="6" t="s">
        <v>495</v>
      </c>
      <c r="C49" s="6" t="s">
        <v>501</v>
      </c>
      <c r="D49" s="6" t="s">
        <v>502</v>
      </c>
      <c r="E49" s="17" t="s">
        <v>10</v>
      </c>
      <c r="F49" s="7" t="n">
        <f aca="false">IFERROR(MATCH(E49,{"Low","Low-Moderate","Moderate","Moderate-High","High","Exceptional"},0),"")</f>
        <v>5</v>
      </c>
      <c r="G49" s="6" t="s">
        <v>38</v>
      </c>
      <c r="H49" s="6" t="s">
        <v>498</v>
      </c>
      <c r="I49" s="6"/>
    </row>
    <row r="50" customFormat="false" ht="15" hidden="false" customHeight="false" outlineLevel="0" collapsed="false">
      <c r="A50" s="7" t="n">
        <v>35</v>
      </c>
      <c r="B50" s="6" t="s">
        <v>495</v>
      </c>
      <c r="C50" s="6" t="s">
        <v>503</v>
      </c>
      <c r="D50" s="6" t="s">
        <v>504</v>
      </c>
      <c r="E50" s="17" t="s">
        <v>10</v>
      </c>
      <c r="F50" s="7" t="n">
        <f aca="false">IFERROR(MATCH(E50,{"Low","Low-Moderate","Moderate","Moderate-High","High","Exceptional"},0),"")</f>
        <v>5</v>
      </c>
      <c r="G50" s="6" t="s">
        <v>38</v>
      </c>
      <c r="H50" s="6" t="s">
        <v>498</v>
      </c>
      <c r="I50" s="6"/>
    </row>
    <row r="52" customFormat="false" ht="15" hidden="false" customHeight="false" outlineLevel="0" collapsed="false">
      <c r="A52" s="2" t="s">
        <v>127</v>
      </c>
    </row>
  </sheetData>
  <autoFilter ref="A4:I50"/>
  <mergeCells count="11">
    <mergeCell ref="A5:I5"/>
    <mergeCell ref="A9:I9"/>
    <mergeCell ref="A13:I13"/>
    <mergeCell ref="A18:I18"/>
    <mergeCell ref="A21:I21"/>
    <mergeCell ref="A24:I24"/>
    <mergeCell ref="A27:I27"/>
    <mergeCell ref="A31:I31"/>
    <mergeCell ref="A36:I36"/>
    <mergeCell ref="A44:I44"/>
    <mergeCell ref="A46:I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8"/>
    <col collapsed="false" customWidth="true" hidden="false" outlineLevel="0" max="9" min="8" style="0" width="52"/>
  </cols>
  <sheetData>
    <row r="1" customFormat="false" ht="18.55" hidden="false" customHeight="false" outlineLevel="0" collapsed="false">
      <c r="A1" s="10" t="s">
        <v>505</v>
      </c>
    </row>
    <row r="2" customFormat="false" ht="15" hidden="false" customHeight="false" outlineLevel="0" collapsed="false">
      <c r="A2" s="2" t="s">
        <v>25</v>
      </c>
    </row>
    <row r="4" customFormat="false" ht="35.05" hidden="false" customHeight="fals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</row>
    <row r="5" customFormat="false" ht="15" hidden="false" customHeight="false" outlineLevel="0" collapsed="false">
      <c r="A5" s="11" t="s">
        <v>506</v>
      </c>
      <c r="B5" s="11"/>
      <c r="C5" s="11"/>
      <c r="D5" s="11"/>
      <c r="E5" s="11"/>
      <c r="F5" s="11"/>
      <c r="G5" s="11"/>
      <c r="H5" s="11"/>
      <c r="I5" s="11"/>
    </row>
    <row r="6" customFormat="false" ht="15" hidden="false" customHeight="false" outlineLevel="0" collapsed="false">
      <c r="A6" s="7" t="n">
        <v>1</v>
      </c>
      <c r="B6" s="6" t="s">
        <v>506</v>
      </c>
      <c r="C6" s="6" t="s">
        <v>507</v>
      </c>
      <c r="D6" s="6" t="s">
        <v>446</v>
      </c>
      <c r="E6" s="15" t="s">
        <v>12</v>
      </c>
      <c r="F6" s="7" t="n">
        <f aca="false">IFERROR(MATCH(E6,{"Low","Low-Moderate","Moderate","Moderate-High","High","Exceptional"},0),"")</f>
        <v>3</v>
      </c>
      <c r="G6" s="6" t="s">
        <v>38</v>
      </c>
      <c r="H6" s="6" t="s">
        <v>508</v>
      </c>
      <c r="I6" s="6"/>
    </row>
    <row r="7" customFormat="false" ht="15" hidden="false" customHeight="false" outlineLevel="0" collapsed="false">
      <c r="A7" s="7" t="n">
        <v>2</v>
      </c>
      <c r="B7" s="6" t="s">
        <v>506</v>
      </c>
      <c r="C7" s="6" t="s">
        <v>509</v>
      </c>
      <c r="D7" s="6" t="s">
        <v>196</v>
      </c>
      <c r="E7" s="18" t="s">
        <v>11</v>
      </c>
      <c r="F7" s="7" t="n">
        <f aca="false">IFERROR(MATCH(E7,{"Low","Low-Moderate","Moderate","Moderate-High","High","Exceptional"},0),"")</f>
        <v>4</v>
      </c>
      <c r="G7" s="6" t="s">
        <v>38</v>
      </c>
      <c r="H7" s="6" t="s">
        <v>508</v>
      </c>
      <c r="I7" s="6"/>
    </row>
    <row r="8" customFormat="false" ht="15" hidden="false" customHeight="false" outlineLevel="0" collapsed="false">
      <c r="A8" s="7" t="n">
        <v>3</v>
      </c>
      <c r="B8" s="6" t="s">
        <v>506</v>
      </c>
      <c r="C8" s="6" t="s">
        <v>510</v>
      </c>
      <c r="D8" s="6" t="s">
        <v>337</v>
      </c>
      <c r="E8" s="15" t="s">
        <v>12</v>
      </c>
      <c r="F8" s="7" t="n">
        <f aca="false">IFERROR(MATCH(E8,{"Low","Low-Moderate","Moderate","Moderate-High","High","Exceptional"},0),"")</f>
        <v>3</v>
      </c>
      <c r="G8" s="6" t="s">
        <v>38</v>
      </c>
      <c r="H8" s="6" t="s">
        <v>508</v>
      </c>
      <c r="I8" s="6"/>
    </row>
    <row r="9" customFormat="false" ht="15" hidden="false" customHeight="false" outlineLevel="0" collapsed="false">
      <c r="A9" s="7" t="n">
        <v>4</v>
      </c>
      <c r="B9" s="6" t="s">
        <v>506</v>
      </c>
      <c r="C9" s="6" t="s">
        <v>511</v>
      </c>
      <c r="D9" s="6" t="s">
        <v>512</v>
      </c>
      <c r="E9" s="15" t="s">
        <v>12</v>
      </c>
      <c r="F9" s="7" t="n">
        <f aca="false">IFERROR(MATCH(E9,{"Low","Low-Moderate","Moderate","Moderate-High","High","Exceptional"},0),"")</f>
        <v>3</v>
      </c>
      <c r="G9" s="6" t="s">
        <v>66</v>
      </c>
      <c r="H9" s="6" t="s">
        <v>508</v>
      </c>
      <c r="I9" s="6"/>
    </row>
    <row r="10" customFormat="false" ht="15" hidden="false" customHeight="false" outlineLevel="0" collapsed="false">
      <c r="A10" s="7" t="n">
        <v>5</v>
      </c>
      <c r="B10" s="6" t="s">
        <v>506</v>
      </c>
      <c r="C10" s="6" t="s">
        <v>513</v>
      </c>
      <c r="D10" s="6" t="s">
        <v>144</v>
      </c>
      <c r="E10" s="15" t="s">
        <v>12</v>
      </c>
      <c r="F10" s="7" t="n">
        <f aca="false">IFERROR(MATCH(E10,{"Low","Low-Moderate","Moderate","Moderate-High","High","Exceptional"},0),"")</f>
        <v>3</v>
      </c>
      <c r="G10" s="6" t="s">
        <v>38</v>
      </c>
      <c r="H10" s="6" t="s">
        <v>508</v>
      </c>
      <c r="I10" s="6"/>
    </row>
    <row r="11" customFormat="false" ht="15" hidden="false" customHeight="false" outlineLevel="0" collapsed="false">
      <c r="A11" s="11" t="s">
        <v>514</v>
      </c>
      <c r="B11" s="11"/>
      <c r="C11" s="11"/>
      <c r="D11" s="11"/>
      <c r="E11" s="11"/>
      <c r="F11" s="11"/>
      <c r="G11" s="11"/>
      <c r="H11" s="11"/>
      <c r="I11" s="11"/>
    </row>
    <row r="12" customFormat="false" ht="15" hidden="false" customHeight="false" outlineLevel="0" collapsed="false">
      <c r="A12" s="7" t="n">
        <v>6</v>
      </c>
      <c r="B12" s="6" t="s">
        <v>514</v>
      </c>
      <c r="C12" s="6" t="s">
        <v>515</v>
      </c>
      <c r="D12" s="6" t="s">
        <v>516</v>
      </c>
      <c r="E12" s="16" t="s">
        <v>13</v>
      </c>
      <c r="F12" s="7" t="n">
        <f aca="false">IFERROR(MATCH(E12,{"Low","Low-Moderate","Moderate","Moderate-High","High","Exceptional"},0),"")</f>
        <v>2</v>
      </c>
      <c r="G12" s="6" t="s">
        <v>38</v>
      </c>
      <c r="H12" s="6" t="s">
        <v>517</v>
      </c>
      <c r="I12" s="6"/>
    </row>
    <row r="13" customFormat="false" ht="15" hidden="false" customHeight="false" outlineLevel="0" collapsed="false">
      <c r="A13" s="7" t="n">
        <v>7</v>
      </c>
      <c r="B13" s="6" t="s">
        <v>514</v>
      </c>
      <c r="C13" s="6" t="s">
        <v>518</v>
      </c>
      <c r="D13" s="6" t="s">
        <v>519</v>
      </c>
      <c r="E13" s="17" t="s">
        <v>10</v>
      </c>
      <c r="F13" s="7" t="n">
        <f aca="false">IFERROR(MATCH(E13,{"Low","Low-Moderate","Moderate","Moderate-High","High","Exceptional"},0),"")</f>
        <v>5</v>
      </c>
      <c r="G13" s="6" t="s">
        <v>38</v>
      </c>
      <c r="H13" s="6" t="s">
        <v>517</v>
      </c>
      <c r="I13" s="6"/>
    </row>
    <row r="14" customFormat="false" ht="15" hidden="false" customHeight="false" outlineLevel="0" collapsed="false">
      <c r="A14" s="7" t="n">
        <v>8</v>
      </c>
      <c r="B14" s="6" t="s">
        <v>514</v>
      </c>
      <c r="C14" s="6" t="s">
        <v>520</v>
      </c>
      <c r="D14" s="6" t="s">
        <v>521</v>
      </c>
      <c r="E14" s="7" t="s">
        <v>389</v>
      </c>
      <c r="F14" s="7" t="str">
        <f aca="false">IFERROR(MATCH(E14,{"Low","Low-Moderate","Moderate","Moderate-High","High","Exceptional"},0),"")</f>
        <v/>
      </c>
      <c r="G14" s="6" t="s">
        <v>38</v>
      </c>
      <c r="H14" s="6" t="s">
        <v>517</v>
      </c>
      <c r="I14" s="6"/>
    </row>
    <row r="15" customFormat="false" ht="15" hidden="false" customHeight="false" outlineLevel="0" collapsed="false">
      <c r="A15" s="7" t="n">
        <v>9</v>
      </c>
      <c r="B15" s="6" t="s">
        <v>514</v>
      </c>
      <c r="C15" s="6" t="s">
        <v>522</v>
      </c>
      <c r="D15" s="6" t="s">
        <v>523</v>
      </c>
      <c r="E15" s="13" t="s">
        <v>14</v>
      </c>
      <c r="F15" s="7" t="n">
        <f aca="false">IFERROR(MATCH(E15,{"Low","Low-Moderate","Moderate","Moderate-High","High","Exceptional"},0),"")</f>
        <v>1</v>
      </c>
      <c r="G15" s="6" t="s">
        <v>38</v>
      </c>
      <c r="H15" s="6" t="s">
        <v>517</v>
      </c>
      <c r="I15" s="6"/>
    </row>
    <row r="16" customFormat="false" ht="15" hidden="false" customHeight="false" outlineLevel="0" collapsed="false">
      <c r="A16" s="7" t="n">
        <v>10</v>
      </c>
      <c r="B16" s="6" t="s">
        <v>514</v>
      </c>
      <c r="C16" s="6" t="s">
        <v>524</v>
      </c>
      <c r="D16" s="6" t="s">
        <v>525</v>
      </c>
      <c r="E16" s="16" t="s">
        <v>13</v>
      </c>
      <c r="F16" s="7" t="n">
        <f aca="false">IFERROR(MATCH(E16,{"Low","Low-Moderate","Moderate","Moderate-High","High","Exceptional"},0),"")</f>
        <v>2</v>
      </c>
      <c r="G16" s="6" t="s">
        <v>80</v>
      </c>
      <c r="H16" s="6" t="s">
        <v>517</v>
      </c>
      <c r="I16" s="6"/>
    </row>
    <row r="17" customFormat="false" ht="15" hidden="false" customHeight="false" outlineLevel="0" collapsed="false">
      <c r="A17" s="7" t="n">
        <v>11</v>
      </c>
      <c r="B17" s="6" t="s">
        <v>514</v>
      </c>
      <c r="C17" s="6" t="s">
        <v>526</v>
      </c>
      <c r="D17" s="6" t="s">
        <v>527</v>
      </c>
      <c r="E17" s="13" t="s">
        <v>14</v>
      </c>
      <c r="F17" s="7" t="n">
        <f aca="false">IFERROR(MATCH(E17,{"Low","Low-Moderate","Moderate","Moderate-High","High","Exceptional"},0),"")</f>
        <v>1</v>
      </c>
      <c r="G17" s="6" t="s">
        <v>38</v>
      </c>
      <c r="H17" s="6" t="s">
        <v>517</v>
      </c>
      <c r="I17" s="6"/>
    </row>
    <row r="18" customFormat="false" ht="15" hidden="false" customHeight="false" outlineLevel="0" collapsed="false">
      <c r="A18" s="11" t="s">
        <v>528</v>
      </c>
      <c r="B18" s="11"/>
      <c r="C18" s="11"/>
      <c r="D18" s="11"/>
      <c r="E18" s="11"/>
      <c r="F18" s="11"/>
      <c r="G18" s="11"/>
      <c r="H18" s="11"/>
      <c r="I18" s="11"/>
    </row>
    <row r="19" customFormat="false" ht="23.85" hidden="false" customHeight="false" outlineLevel="0" collapsed="false">
      <c r="A19" s="7" t="n">
        <v>12</v>
      </c>
      <c r="B19" s="6" t="s">
        <v>528</v>
      </c>
      <c r="C19" s="6" t="s">
        <v>529</v>
      </c>
      <c r="D19" s="6" t="s">
        <v>530</v>
      </c>
      <c r="E19" s="7" t="s">
        <v>389</v>
      </c>
      <c r="F19" s="7" t="str">
        <f aca="false">IFERROR(MATCH(E19,{"Low","Low-Moderate","Moderate","Moderate-High","High","Exceptional"},0),"")</f>
        <v/>
      </c>
      <c r="G19" s="6" t="s">
        <v>38</v>
      </c>
      <c r="H19" s="6" t="s">
        <v>531</v>
      </c>
      <c r="I19" s="6"/>
    </row>
    <row r="20" customFormat="false" ht="23.85" hidden="false" customHeight="false" outlineLevel="0" collapsed="false">
      <c r="A20" s="7" t="n">
        <v>13</v>
      </c>
      <c r="B20" s="6" t="s">
        <v>528</v>
      </c>
      <c r="C20" s="6" t="s">
        <v>532</v>
      </c>
      <c r="D20" s="6" t="s">
        <v>533</v>
      </c>
      <c r="E20" s="7" t="s">
        <v>389</v>
      </c>
      <c r="F20" s="7" t="str">
        <f aca="false">IFERROR(MATCH(E20,{"Low","Low-Moderate","Moderate","Moderate-High","High","Exceptional"},0),"")</f>
        <v/>
      </c>
      <c r="G20" s="6" t="s">
        <v>38</v>
      </c>
      <c r="H20" s="6" t="s">
        <v>531</v>
      </c>
      <c r="I20" s="6"/>
    </row>
    <row r="21" customFormat="false" ht="23.85" hidden="false" customHeight="false" outlineLevel="0" collapsed="false">
      <c r="A21" s="7" t="n">
        <v>14</v>
      </c>
      <c r="B21" s="6" t="s">
        <v>528</v>
      </c>
      <c r="C21" s="6" t="s">
        <v>534</v>
      </c>
      <c r="D21" s="6" t="s">
        <v>535</v>
      </c>
      <c r="E21" s="7" t="s">
        <v>389</v>
      </c>
      <c r="F21" s="7" t="str">
        <f aca="false">IFERROR(MATCH(E21,{"Low","Low-Moderate","Moderate","Moderate-High","High","Exceptional"},0),"")</f>
        <v/>
      </c>
      <c r="G21" s="6" t="s">
        <v>38</v>
      </c>
      <c r="H21" s="6" t="s">
        <v>531</v>
      </c>
      <c r="I21" s="6"/>
    </row>
    <row r="22" customFormat="false" ht="23.85" hidden="false" customHeight="false" outlineLevel="0" collapsed="false">
      <c r="A22" s="7" t="n">
        <v>15</v>
      </c>
      <c r="B22" s="6" t="s">
        <v>528</v>
      </c>
      <c r="C22" s="6" t="s">
        <v>536</v>
      </c>
      <c r="D22" s="6" t="s">
        <v>537</v>
      </c>
      <c r="E22" s="7" t="s">
        <v>389</v>
      </c>
      <c r="F22" s="7" t="str">
        <f aca="false">IFERROR(MATCH(E22,{"Low","Low-Moderate","Moderate","Moderate-High","High","Exceptional"},0),"")</f>
        <v/>
      </c>
      <c r="G22" s="6" t="s">
        <v>80</v>
      </c>
      <c r="H22" s="6" t="s">
        <v>531</v>
      </c>
      <c r="I22" s="6"/>
    </row>
    <row r="23" customFormat="false" ht="23.85" hidden="false" customHeight="false" outlineLevel="0" collapsed="false">
      <c r="A23" s="7" t="n">
        <v>16</v>
      </c>
      <c r="B23" s="6" t="s">
        <v>528</v>
      </c>
      <c r="C23" s="6" t="s">
        <v>538</v>
      </c>
      <c r="D23" s="6" t="s">
        <v>539</v>
      </c>
      <c r="E23" s="7" t="s">
        <v>389</v>
      </c>
      <c r="F23" s="7" t="str">
        <f aca="false">IFERROR(MATCH(E23,{"Low","Low-Moderate","Moderate","Moderate-High","High","Exceptional"},0),"")</f>
        <v/>
      </c>
      <c r="G23" s="6" t="s">
        <v>38</v>
      </c>
      <c r="H23" s="6" t="s">
        <v>531</v>
      </c>
      <c r="I23" s="6"/>
    </row>
    <row r="24" customFormat="false" ht="23.85" hidden="false" customHeight="false" outlineLevel="0" collapsed="false">
      <c r="A24" s="7" t="n">
        <v>17</v>
      </c>
      <c r="B24" s="6" t="s">
        <v>528</v>
      </c>
      <c r="C24" s="6" t="s">
        <v>540</v>
      </c>
      <c r="D24" s="6" t="s">
        <v>541</v>
      </c>
      <c r="E24" s="7" t="s">
        <v>389</v>
      </c>
      <c r="F24" s="7" t="str">
        <f aca="false">IFERROR(MATCH(E24,{"Low","Low-Moderate","Moderate","Moderate-High","High","Exceptional"},0),"")</f>
        <v/>
      </c>
      <c r="G24" s="6" t="s">
        <v>38</v>
      </c>
      <c r="H24" s="6" t="s">
        <v>531</v>
      </c>
      <c r="I24" s="6"/>
    </row>
    <row r="25" customFormat="false" ht="23.85" hidden="false" customHeight="false" outlineLevel="0" collapsed="false">
      <c r="A25" s="7" t="n">
        <v>18</v>
      </c>
      <c r="B25" s="6" t="s">
        <v>528</v>
      </c>
      <c r="C25" s="6" t="s">
        <v>542</v>
      </c>
      <c r="D25" s="6" t="s">
        <v>543</v>
      </c>
      <c r="E25" s="7" t="s">
        <v>389</v>
      </c>
      <c r="F25" s="7" t="str">
        <f aca="false">IFERROR(MATCH(E25,{"Low","Low-Moderate","Moderate","Moderate-High","High","Exceptional"},0),"")</f>
        <v/>
      </c>
      <c r="G25" s="6" t="s">
        <v>38</v>
      </c>
      <c r="H25" s="6" t="s">
        <v>531</v>
      </c>
      <c r="I25" s="6"/>
    </row>
    <row r="26" customFormat="false" ht="23.85" hidden="false" customHeight="false" outlineLevel="0" collapsed="false">
      <c r="A26" s="7" t="n">
        <v>19</v>
      </c>
      <c r="B26" s="6" t="s">
        <v>528</v>
      </c>
      <c r="C26" s="6" t="s">
        <v>544</v>
      </c>
      <c r="D26" s="6" t="s">
        <v>110</v>
      </c>
      <c r="E26" s="7" t="s">
        <v>389</v>
      </c>
      <c r="F26" s="7" t="str">
        <f aca="false">IFERROR(MATCH(E26,{"Low","Low-Moderate","Moderate","Moderate-High","High","Exceptional"},0),"")</f>
        <v/>
      </c>
      <c r="G26" s="6" t="s">
        <v>38</v>
      </c>
      <c r="H26" s="6" t="s">
        <v>531</v>
      </c>
      <c r="I26" s="6"/>
    </row>
    <row r="27" customFormat="false" ht="23.85" hidden="false" customHeight="false" outlineLevel="0" collapsed="false">
      <c r="A27" s="7" t="n">
        <v>20</v>
      </c>
      <c r="B27" s="6" t="s">
        <v>528</v>
      </c>
      <c r="C27" s="6" t="s">
        <v>545</v>
      </c>
      <c r="D27" s="6" t="s">
        <v>12</v>
      </c>
      <c r="E27" s="15" t="s">
        <v>12</v>
      </c>
      <c r="F27" s="7" t="n">
        <f aca="false">IFERROR(MATCH(E27,{"Low","Low-Moderate","Moderate","Moderate-High","High","Exceptional"},0),"")</f>
        <v>3</v>
      </c>
      <c r="G27" s="6" t="s">
        <v>66</v>
      </c>
      <c r="H27" s="6" t="s">
        <v>531</v>
      </c>
      <c r="I27" s="6"/>
    </row>
    <row r="28" customFormat="false" ht="23.85" hidden="false" customHeight="false" outlineLevel="0" collapsed="false">
      <c r="A28" s="7" t="n">
        <v>21</v>
      </c>
      <c r="B28" s="6" t="s">
        <v>528</v>
      </c>
      <c r="C28" s="6" t="s">
        <v>546</v>
      </c>
      <c r="D28" s="6" t="s">
        <v>13</v>
      </c>
      <c r="E28" s="16" t="s">
        <v>13</v>
      </c>
      <c r="F28" s="7" t="n">
        <f aca="false">IFERROR(MATCH(E28,{"Low","Low-Moderate","Moderate","Moderate-High","High","Exceptional"},0),"")</f>
        <v>2</v>
      </c>
      <c r="G28" s="6" t="s">
        <v>66</v>
      </c>
      <c r="H28" s="6" t="s">
        <v>531</v>
      </c>
      <c r="I28" s="6"/>
    </row>
    <row r="29" customFormat="false" ht="15" hidden="false" customHeight="false" outlineLevel="0" collapsed="false">
      <c r="A29" s="11" t="s">
        <v>547</v>
      </c>
      <c r="B29" s="11"/>
      <c r="C29" s="11"/>
      <c r="D29" s="11"/>
      <c r="E29" s="11"/>
      <c r="F29" s="11"/>
      <c r="G29" s="11"/>
      <c r="H29" s="11"/>
      <c r="I29" s="11"/>
    </row>
    <row r="30" customFormat="false" ht="15" hidden="false" customHeight="false" outlineLevel="0" collapsed="false">
      <c r="A30" s="7" t="n">
        <v>22</v>
      </c>
      <c r="B30" s="6" t="s">
        <v>547</v>
      </c>
      <c r="C30" s="6" t="s">
        <v>548</v>
      </c>
      <c r="D30" s="6" t="s">
        <v>549</v>
      </c>
      <c r="E30" s="7" t="s">
        <v>389</v>
      </c>
      <c r="F30" s="7" t="str">
        <f aca="false">IFERROR(MATCH(E30,{"Low","Low-Moderate","Moderate","Moderate-High","High","Exceptional"},0),"")</f>
        <v/>
      </c>
      <c r="G30" s="6" t="s">
        <v>38</v>
      </c>
      <c r="H30" s="6" t="s">
        <v>550</v>
      </c>
      <c r="I30" s="6"/>
    </row>
    <row r="31" customFormat="false" ht="15" hidden="false" customHeight="false" outlineLevel="0" collapsed="false">
      <c r="A31" s="7" t="n">
        <v>23</v>
      </c>
      <c r="B31" s="6" t="s">
        <v>547</v>
      </c>
      <c r="C31" s="6" t="s">
        <v>551</v>
      </c>
      <c r="D31" s="6" t="s">
        <v>552</v>
      </c>
      <c r="E31" s="7" t="s">
        <v>389</v>
      </c>
      <c r="F31" s="7" t="str">
        <f aca="false">IFERROR(MATCH(E31,{"Low","Low-Moderate","Moderate","Moderate-High","High","Exceptional"},0),"")</f>
        <v/>
      </c>
      <c r="G31" s="6" t="s">
        <v>38</v>
      </c>
      <c r="H31" s="6" t="s">
        <v>550</v>
      </c>
      <c r="I31" s="6"/>
    </row>
    <row r="32" customFormat="false" ht="15" hidden="false" customHeight="false" outlineLevel="0" collapsed="false">
      <c r="A32" s="7" t="n">
        <v>24</v>
      </c>
      <c r="B32" s="6" t="s">
        <v>547</v>
      </c>
      <c r="C32" s="6" t="s">
        <v>553</v>
      </c>
      <c r="D32" s="6" t="s">
        <v>554</v>
      </c>
      <c r="E32" s="7" t="s">
        <v>389</v>
      </c>
      <c r="F32" s="7" t="str">
        <f aca="false">IFERROR(MATCH(E32,{"Low","Low-Moderate","Moderate","Moderate-High","High","Exceptional"},0),"")</f>
        <v/>
      </c>
      <c r="G32" s="6" t="s">
        <v>38</v>
      </c>
      <c r="H32" s="6" t="s">
        <v>550</v>
      </c>
      <c r="I32" s="6"/>
    </row>
    <row r="33" customFormat="false" ht="15" hidden="false" customHeight="false" outlineLevel="0" collapsed="false">
      <c r="A33" s="7" t="n">
        <v>25</v>
      </c>
      <c r="B33" s="6" t="s">
        <v>547</v>
      </c>
      <c r="C33" s="6" t="s">
        <v>555</v>
      </c>
      <c r="D33" s="6" t="s">
        <v>62</v>
      </c>
      <c r="E33" s="7" t="s">
        <v>389</v>
      </c>
      <c r="F33" s="7" t="str">
        <f aca="false">IFERROR(MATCH(E33,{"Low","Low-Moderate","Moderate","Moderate-High","High","Exceptional"},0),"")</f>
        <v/>
      </c>
      <c r="G33" s="6" t="s">
        <v>38</v>
      </c>
      <c r="H33" s="6" t="s">
        <v>550</v>
      </c>
      <c r="I33" s="6"/>
    </row>
    <row r="34" customFormat="false" ht="15" hidden="false" customHeight="false" outlineLevel="0" collapsed="false">
      <c r="A34" s="7" t="n">
        <v>26</v>
      </c>
      <c r="B34" s="6" t="s">
        <v>547</v>
      </c>
      <c r="C34" s="6" t="s">
        <v>556</v>
      </c>
      <c r="D34" s="6" t="s">
        <v>10</v>
      </c>
      <c r="E34" s="17" t="s">
        <v>10</v>
      </c>
      <c r="F34" s="7" t="n">
        <f aca="false">IFERROR(MATCH(E34,{"Low","Low-Moderate","Moderate","Moderate-High","High","Exceptional"},0),"")</f>
        <v>5</v>
      </c>
      <c r="G34" s="6" t="s">
        <v>66</v>
      </c>
      <c r="H34" s="6" t="s">
        <v>550</v>
      </c>
      <c r="I34" s="6"/>
    </row>
    <row r="35" customFormat="false" ht="15" hidden="false" customHeight="false" outlineLevel="0" collapsed="false">
      <c r="A35" s="7" t="n">
        <v>27</v>
      </c>
      <c r="B35" s="6" t="s">
        <v>547</v>
      </c>
      <c r="C35" s="6" t="s">
        <v>557</v>
      </c>
      <c r="D35" s="6" t="s">
        <v>558</v>
      </c>
      <c r="E35" s="7" t="s">
        <v>389</v>
      </c>
      <c r="F35" s="7" t="str">
        <f aca="false">IFERROR(MATCH(E35,{"Low","Low-Moderate","Moderate","Moderate-High","High","Exceptional"},0),"")</f>
        <v/>
      </c>
      <c r="G35" s="6" t="s">
        <v>66</v>
      </c>
      <c r="H35" s="6" t="s">
        <v>550</v>
      </c>
      <c r="I35" s="6"/>
    </row>
    <row r="36" customFormat="false" ht="15" hidden="false" customHeight="false" outlineLevel="0" collapsed="false">
      <c r="A36" s="7" t="n">
        <v>28</v>
      </c>
      <c r="B36" s="6" t="s">
        <v>547</v>
      </c>
      <c r="C36" s="6" t="s">
        <v>559</v>
      </c>
      <c r="D36" s="6" t="s">
        <v>12</v>
      </c>
      <c r="E36" s="15" t="s">
        <v>12</v>
      </c>
      <c r="F36" s="7" t="n">
        <f aca="false">IFERROR(MATCH(E36,{"Low","Low-Moderate","Moderate","Moderate-High","High","Exceptional"},0),"")</f>
        <v>3</v>
      </c>
      <c r="G36" s="6" t="s">
        <v>66</v>
      </c>
      <c r="H36" s="6" t="s">
        <v>550</v>
      </c>
      <c r="I36" s="6"/>
    </row>
    <row r="37" customFormat="false" ht="35.05" hidden="false" customHeight="false" outlineLevel="0" collapsed="false">
      <c r="A37" s="7" t="n">
        <v>29</v>
      </c>
      <c r="B37" s="6" t="s">
        <v>547</v>
      </c>
      <c r="C37" s="6" t="s">
        <v>560</v>
      </c>
      <c r="D37" s="14" t="s">
        <v>561</v>
      </c>
      <c r="E37" s="7" t="s">
        <v>389</v>
      </c>
      <c r="F37" s="7" t="str">
        <f aca="false">IFERROR(MATCH(E37,{"Low","Low-Moderate","Moderate","Moderate-High","High","Exceptional"},0),"")</f>
        <v/>
      </c>
      <c r="G37" s="6" t="s">
        <v>70</v>
      </c>
      <c r="H37" s="6" t="s">
        <v>550</v>
      </c>
      <c r="I37" s="6" t="s">
        <v>562</v>
      </c>
    </row>
    <row r="38" customFormat="false" ht="15" hidden="false" customHeight="false" outlineLevel="0" collapsed="false">
      <c r="A38" s="11" t="s">
        <v>563</v>
      </c>
      <c r="B38" s="11"/>
      <c r="C38" s="11"/>
      <c r="D38" s="11"/>
      <c r="E38" s="11"/>
      <c r="F38" s="11"/>
      <c r="G38" s="11"/>
      <c r="H38" s="11"/>
      <c r="I38" s="11"/>
    </row>
    <row r="39" customFormat="false" ht="15" hidden="false" customHeight="false" outlineLevel="0" collapsed="false">
      <c r="A39" s="7" t="n">
        <v>30</v>
      </c>
      <c r="B39" s="6" t="s">
        <v>563</v>
      </c>
      <c r="C39" s="6" t="s">
        <v>564</v>
      </c>
      <c r="D39" s="6" t="s">
        <v>565</v>
      </c>
      <c r="E39" s="7" t="s">
        <v>389</v>
      </c>
      <c r="F39" s="7" t="str">
        <f aca="false">IFERROR(MATCH(E39,{"Low","Low-Moderate","Moderate","Moderate-High","High","Exceptional"},0),"")</f>
        <v/>
      </c>
      <c r="G39" s="6" t="s">
        <v>38</v>
      </c>
      <c r="H39" s="6" t="s">
        <v>566</v>
      </c>
      <c r="I39" s="6"/>
    </row>
    <row r="40" customFormat="false" ht="15" hidden="false" customHeight="false" outlineLevel="0" collapsed="false">
      <c r="A40" s="7" t="n">
        <v>31</v>
      </c>
      <c r="B40" s="6" t="s">
        <v>563</v>
      </c>
      <c r="C40" s="6" t="s">
        <v>567</v>
      </c>
      <c r="D40" s="6" t="s">
        <v>568</v>
      </c>
      <c r="E40" s="7" t="s">
        <v>389</v>
      </c>
      <c r="F40" s="7" t="str">
        <f aca="false">IFERROR(MATCH(E40,{"Low","Low-Moderate","Moderate","Moderate-High","High","Exceptional"},0),"")</f>
        <v/>
      </c>
      <c r="G40" s="6" t="s">
        <v>38</v>
      </c>
      <c r="H40" s="6" t="s">
        <v>566</v>
      </c>
      <c r="I40" s="6"/>
    </row>
    <row r="41" customFormat="false" ht="15" hidden="false" customHeight="false" outlineLevel="0" collapsed="false">
      <c r="A41" s="7" t="n">
        <v>32</v>
      </c>
      <c r="B41" s="6" t="s">
        <v>563</v>
      </c>
      <c r="C41" s="6" t="s">
        <v>569</v>
      </c>
      <c r="D41" s="6" t="s">
        <v>570</v>
      </c>
      <c r="E41" s="7" t="s">
        <v>389</v>
      </c>
      <c r="F41" s="7" t="str">
        <f aca="false">IFERROR(MATCH(E41,{"Low","Low-Moderate","Moderate","Moderate-High","High","Exceptional"},0),"")</f>
        <v/>
      </c>
      <c r="G41" s="6" t="s">
        <v>38</v>
      </c>
      <c r="H41" s="6" t="s">
        <v>566</v>
      </c>
      <c r="I41" s="6"/>
    </row>
    <row r="42" customFormat="false" ht="23.85" hidden="false" customHeight="false" outlineLevel="0" collapsed="false">
      <c r="A42" s="7" t="n">
        <v>33</v>
      </c>
      <c r="B42" s="6" t="s">
        <v>563</v>
      </c>
      <c r="C42" s="6" t="s">
        <v>571</v>
      </c>
      <c r="D42" s="6" t="s">
        <v>572</v>
      </c>
      <c r="E42" s="7" t="s">
        <v>389</v>
      </c>
      <c r="F42" s="7" t="str">
        <f aca="false">IFERROR(MATCH(E42,{"Low","Low-Moderate","Moderate","Moderate-High","High","Exceptional"},0),"")</f>
        <v/>
      </c>
      <c r="G42" s="6" t="s">
        <v>38</v>
      </c>
      <c r="H42" s="6" t="s">
        <v>566</v>
      </c>
      <c r="I42" s="6"/>
    </row>
    <row r="43" customFormat="false" ht="15" hidden="false" customHeight="false" outlineLevel="0" collapsed="false">
      <c r="A43" s="7" t="n">
        <v>34</v>
      </c>
      <c r="B43" s="6" t="s">
        <v>563</v>
      </c>
      <c r="C43" s="6" t="s">
        <v>573</v>
      </c>
      <c r="D43" s="6" t="s">
        <v>62</v>
      </c>
      <c r="E43" s="7" t="s">
        <v>389</v>
      </c>
      <c r="F43" s="7" t="str">
        <f aca="false">IFERROR(MATCH(E43,{"Low","Low-Moderate","Moderate","Moderate-High","High","Exceptional"},0),"")</f>
        <v/>
      </c>
      <c r="G43" s="6" t="s">
        <v>38</v>
      </c>
      <c r="H43" s="6" t="s">
        <v>566</v>
      </c>
      <c r="I43" s="6"/>
    </row>
    <row r="44" customFormat="false" ht="23.85" hidden="false" customHeight="false" outlineLevel="0" collapsed="false">
      <c r="A44" s="7" t="n">
        <v>35</v>
      </c>
      <c r="B44" s="6" t="s">
        <v>563</v>
      </c>
      <c r="C44" s="6" t="s">
        <v>574</v>
      </c>
      <c r="D44" s="6" t="s">
        <v>11</v>
      </c>
      <c r="E44" s="18" t="s">
        <v>11</v>
      </c>
      <c r="F44" s="7" t="n">
        <f aca="false">IFERROR(MATCH(E44,{"Low","Low-Moderate","Moderate","Moderate-High","High","Exceptional"},0),"")</f>
        <v>4</v>
      </c>
      <c r="G44" s="6" t="s">
        <v>66</v>
      </c>
      <c r="H44" s="6" t="s">
        <v>566</v>
      </c>
      <c r="I44" s="6"/>
    </row>
    <row r="45" customFormat="false" ht="15" hidden="false" customHeight="false" outlineLevel="0" collapsed="false">
      <c r="A45" s="7" t="n">
        <v>36</v>
      </c>
      <c r="B45" s="6" t="s">
        <v>563</v>
      </c>
      <c r="C45" s="6" t="s">
        <v>575</v>
      </c>
      <c r="D45" s="6" t="s">
        <v>10</v>
      </c>
      <c r="E45" s="7" t="s">
        <v>389</v>
      </c>
      <c r="F45" s="7" t="str">
        <f aca="false">IFERROR(MATCH(E45,{"Low","Low-Moderate","Moderate","Moderate-High","High","Exceptional"},0),"")</f>
        <v/>
      </c>
      <c r="G45" s="6" t="s">
        <v>66</v>
      </c>
      <c r="H45" s="6" t="s">
        <v>566</v>
      </c>
      <c r="I45" s="6"/>
    </row>
    <row r="46" customFormat="false" ht="23.85" hidden="false" customHeight="false" outlineLevel="0" collapsed="false">
      <c r="A46" s="7" t="n">
        <v>37</v>
      </c>
      <c r="B46" s="6" t="s">
        <v>563</v>
      </c>
      <c r="C46" s="6" t="s">
        <v>576</v>
      </c>
      <c r="D46" s="6" t="s">
        <v>577</v>
      </c>
      <c r="E46" s="7" t="s">
        <v>389</v>
      </c>
      <c r="F46" s="7" t="str">
        <f aca="false">IFERROR(MATCH(E46,{"Low","Low-Moderate","Moderate","Moderate-High","High","Exceptional"},0),"")</f>
        <v/>
      </c>
      <c r="G46" s="6" t="s">
        <v>38</v>
      </c>
      <c r="H46" s="6" t="s">
        <v>566</v>
      </c>
      <c r="I46" s="6"/>
    </row>
    <row r="48" customFormat="false" ht="15" hidden="false" customHeight="false" outlineLevel="0" collapsed="false">
      <c r="A48" s="2" t="s">
        <v>127</v>
      </c>
    </row>
  </sheetData>
  <autoFilter ref="A4:I46"/>
  <mergeCells count="5">
    <mergeCell ref="A5:I5"/>
    <mergeCell ref="A11:I11"/>
    <mergeCell ref="A18:I18"/>
    <mergeCell ref="A29:I29"/>
    <mergeCell ref="A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2026-10-14T15:43:33Z</dcterms:created>
  <dc:creator>openpyxl</dc:creator>
  <dc:description/>
  <dc:language>en-US</dc:language>
  <cp:lastModifiedBy/>
  <dcterms:modified xsi:type="dcterms:W3CDTF">2026-10-14T15:43:33Z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